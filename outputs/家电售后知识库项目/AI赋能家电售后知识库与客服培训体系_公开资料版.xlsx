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551f26edc43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看板" sheetId="1" r:id="R521422fb370d420d"/>
    <x:sheet xmlns:r="http://schemas.openxmlformats.org/officeDocument/2006/relationships" name="售后知识库" sheetId="2" r:id="Rab0c53e6fa204efe"/>
    <x:sheet xmlns:r="http://schemas.openxmlformats.org/officeDocument/2006/relationships" name="标准话术" sheetId="3" r:id="R1737b49a4b914c30"/>
    <x:sheet xmlns:r="http://schemas.openxmlformats.org/officeDocument/2006/relationships" name="月考题库" sheetId="4" r:id="Rb42de5ea02764f03"/>
    <x:sheet xmlns:r="http://schemas.openxmlformats.org/officeDocument/2006/relationships" name="成绩明细" sheetId="5" r:id="Reab222f5c8f743f0"/>
    <x:sheet xmlns:r="http://schemas.openxmlformats.org/officeDocument/2006/relationships" name="模块分析" sheetId="6" r:id="R5212bad034cf479c"/>
    <x:sheet xmlns:r="http://schemas.openxmlformats.org/officeDocument/2006/relationships" name="咨询记录" sheetId="7" r:id="Rb488a81798d34da6"/>
    <x:sheet xmlns:r="http://schemas.openxmlformats.org/officeDocument/2006/relationships" name="公开资料来源台账" sheetId="8" r:id="R7269b47a2bb34f43"/>
    <x:sheet xmlns:r="http://schemas.openxmlformats.org/officeDocument/2006/relationships" name="公开资料知识库" sheetId="9" r:id="R18c6efd8f23d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0"/>
    <x:numFmt numFmtId="203" formatCode="0%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0364A"/>
      <x:name val="Carlito"/>
    </x:font>
    <x:font>
      <x:b/>
      <x:sz val="11"/>
      <x:color rgb="FFFFFFFF"/>
      <x:name val="Carlito"/>
    </x:font>
    <x:font>
      <x:sz val="10"/>
      <x:color rgb="FF243442"/>
      <x:name val="Carlito"/>
    </x:font>
    <x:font>
      <x:sz val="11"/>
      <x:color rgb="FF20364A"/>
      <x:name val="Carlito"/>
    </x:font>
    <x:font>
      <x:b/>
      <x:sz val="11"/>
      <x:color rgb="FF64748B"/>
      <x:name val="Carlito"/>
    </x:font>
    <x:font>
      <x:b/>
      <x:sz val="14"/>
      <x:color rgb="FF2D7F7A"/>
      <x:name val="Carlito"/>
    </x:font>
    <x:font>
      <x:b/>
      <x:sz val="14"/>
      <x:color rgb="FF20364A"/>
      <x:name val="Carlito"/>
    </x:font>
    <x:font>
      <x:b/>
      <x:sz val="12"/>
      <x:color rgb="FF20364A"/>
      <x:name val="Carlito"/>
    </x:font>
    <x:font>
      <x:i/>
      <x:sz val="11"/>
      <x:color rgb="FF64748B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20364A"/>
      </x:patternFill>
    </x:fill>
    <x:fill>
      <x:patternFill patternType="solid">
        <x:fgColor rgb="FFEAF4F2"/>
      </x:patternFill>
    </x:fill>
    <x:fill>
      <x:patternFill patternType="solid">
        <x:fgColor rgb="FF2D7F7A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  <x:fill>
      <x:patternFill patternType="solid">
        <x:fgColor rgb="FFF5F7F9"/>
      </x:patternFill>
    </x:fill>
    <x:fill>
      <x:patternFill patternType="solid">
        <x:fgColor rgb="FF20364A"/>
      </x:patternFill>
    </x:fill>
    <x:fill>
      <x:patternFill patternType="solid">
        <x:fgColor rgb="FFEAF4F2"/>
      </x:patternFill>
    </x:fill>
    <x:fill>
      <x:patternFill patternType="solid">
        <x:fgColor rgb="FF2D7F7A"/>
      </x:patternFill>
    </x:fill>
  </x:fills>
  <x:borders count="21">
    <x:border/>
    <x:border>
      <x:bottom style="medium">
        <x:color rgb="FF20364A"/>
      </x:bottom>
    </x:border>
    <x:border>
      <x:bottom style="thin">
        <x:color rgb="FFDCE3E8"/>
      </x:bottom>
    </x:border>
    <x:border>
      <x:top style="thin">
        <x:color rgb="FFDCE3E8"/>
      </x:top>
      <x:bottom style="thin">
        <x:color rgb="FFDCE3E8"/>
      </x:bottom>
    </x:border>
    <x:border>
      <x:top style="thin">
        <x:color rgb="FFDCE3E8"/>
      </x:top>
    </x:border>
    <x:border>
      <x:left style="thin">
        <x:color rgb="FF2D7F7A"/>
      </x:left>
      <x:top style="thin">
        <x:color rgb="FF2D7F7A"/>
      </x:top>
    </x:border>
    <x:border>
      <x:top style="thin">
        <x:color rgb="FF2D7F7A"/>
      </x:top>
    </x:border>
    <x:border>
      <x:right style="thin">
        <x:color rgb="FF2D7F7A"/>
      </x:right>
      <x:top style="thin">
        <x:color rgb="FF2D7F7A"/>
      </x:top>
    </x:border>
    <x:border>
      <x:left style="thin">
        <x:color rgb="FF2D7F7A"/>
      </x:left>
    </x:border>
    <x:border>
      <x:right style="thin">
        <x:color rgb="FF2D7F7A"/>
      </x:right>
    </x:border>
    <x:border>
      <x:left style="thin">
        <x:color rgb="FF2D7F7A"/>
      </x:left>
      <x:bottom style="thin">
        <x:color rgb="FF2D7F7A"/>
      </x:bottom>
    </x:border>
    <x:border>
      <x:bottom style="thin">
        <x:color rgb="FF2D7F7A"/>
      </x:bottom>
    </x:border>
    <x:border>
      <x:right style="thin">
        <x:color rgb="FF2D7F7A"/>
      </x:right>
      <x:bottom style="thin">
        <x:color rgb="FF2D7F7A"/>
      </x:bottom>
    </x:border>
    <x:border>
      <x:left style="thin">
        <x:color rgb="FFD8A547"/>
      </x:left>
      <x:top style="thin">
        <x:color rgb="FFD8A547"/>
      </x:top>
    </x:border>
    <x:border>
      <x:top style="thin">
        <x:color rgb="FFD8A547"/>
      </x:top>
    </x:border>
    <x:border>
      <x:right style="thin">
        <x:color rgb="FFD8A547"/>
      </x:right>
      <x:top style="thin">
        <x:color rgb="FFD8A547"/>
      </x:top>
    </x:border>
    <x:border>
      <x:left style="thin">
        <x:color rgb="FFD8A547"/>
      </x:left>
    </x:border>
    <x:border>
      <x:right style="thin">
        <x:color rgb="FFD8A547"/>
      </x:right>
    </x:border>
    <x:border>
      <x:left style="thin">
        <x:color rgb="FFD8A547"/>
      </x:left>
      <x:bottom style="thin">
        <x:color rgb="FFD8A547"/>
      </x:bottom>
    </x:border>
    <x:border>
      <x:bottom style="thin">
        <x:color rgb="FFD8A547"/>
      </x:bottom>
    </x:border>
    <x:border>
      <x:right style="thin">
        <x:color rgb="FFD8A547"/>
      </x:right>
      <x:bottom style="thin">
        <x:color rgb="FFD8A547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203" fontId="4" fillId="0" borderId="3" xfId="0" applyNumberFormat="1" applyFont="1" applyFill="1" applyBorder="1" applyAlignment="1">
      <x:alignment vertical="top" wrapText="1"/>
    </x:xf>
    <x:xf numFmtId="203" fontId="4" fillId="0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202" fontId="7" fillId="5" borderId="3" xfId="0" applyNumberFormat="1" applyFont="1" applyFill="1" applyBorder="1"/>
    <x:xf numFmtId="203" fontId="7" fillId="5" borderId="4" xfId="0" applyNumberFormat="1" applyFont="1" applyFill="1" applyBorder="1"/>
    <x:xf numFmtId="0" fontId="8" fillId="3" borderId="0" xfId="0" applyNumberFormat="1" applyFont="1" applyFill="1" applyBorder="1"/>
    <x:xf numFmtId="0" fontId="8" fillId="3" borderId="5" xfId="0" applyNumberFormat="1" applyFont="1" applyFill="1" applyBorder="1"/>
    <x:xf numFmtId="0" fontId="8" fillId="3" borderId="6" xfId="0" applyNumberFormat="1" applyFont="1" applyFill="1" applyBorder="1"/>
    <x:xf numFmtId="0" fontId="8" fillId="3" borderId="7" xfId="0" applyNumberFormat="1" applyFont="1" applyFill="1" applyBorder="1"/>
    <x:xf numFmtId="0" fontId="8" fillId="3" borderId="8" xfId="0" applyNumberFormat="1" applyFont="1" applyFill="1" applyBorder="1"/>
    <x:xf numFmtId="0" fontId="8" fillId="3" borderId="9" xfId="0" applyNumberFormat="1" applyFont="1" applyFill="1" applyBorder="1"/>
    <x:xf numFmtId="0" fontId="8" fillId="3" borderId="10" xfId="0" applyNumberFormat="1" applyFont="1" applyFill="1" applyBorder="1"/>
    <x:xf numFmtId="0" fontId="8" fillId="3" borderId="11" xfId="0" applyNumberFormat="1" applyFont="1" applyFill="1" applyBorder="1"/>
    <x:xf numFmtId="0" fontId="8" fillId="3" borderId="12" xfId="0" applyNumberFormat="1" applyFont="1" applyFill="1" applyBorder="1"/>
    <x:xf numFmtId="0" fontId="8" fillId="3" borderId="5" xfId="0" applyNumberFormat="1" applyFont="1" applyFill="1" applyBorder="1" applyAlignment="1">
      <x:alignment wrapText="1"/>
    </x:xf>
    <x:xf numFmtId="0" fontId="8" fillId="3" borderId="6" xfId="0" applyNumberFormat="1" applyFont="1" applyFill="1" applyBorder="1" applyAlignment="1">
      <x:alignment wrapText="1"/>
    </x:xf>
    <x:xf numFmtId="0" fontId="8" fillId="3" borderId="7" xfId="0" applyNumberFormat="1" applyFont="1" applyFill="1" applyBorder="1" applyAlignment="1">
      <x:alignment wrapText="1"/>
    </x:xf>
    <x:xf numFmtId="0" fontId="8" fillId="3" borderId="8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8" fillId="3" borderId="9" xfId="0" applyNumberFormat="1" applyFont="1" applyFill="1" applyBorder="1" applyAlignment="1">
      <x:alignment wrapText="1"/>
    </x:xf>
    <x:xf numFmtId="0" fontId="8" fillId="3" borderId="10" xfId="0" applyNumberFormat="1" applyFont="1" applyFill="1" applyBorder="1" applyAlignment="1">
      <x:alignment wrapText="1"/>
    </x:xf>
    <x:xf numFmtId="0" fontId="8" fillId="3" borderId="11" xfId="0" applyNumberFormat="1" applyFont="1" applyFill="1" applyBorder="1" applyAlignment="1">
      <x:alignment wrapText="1"/>
    </x:xf>
    <x:xf numFmtId="0" fontId="8" fillId="3" borderId="12" xfId="0" applyNumberFormat="1" applyFont="1" applyFill="1" applyBorder="1" applyAlignment="1">
      <x:alignment wrapText="1"/>
    </x:xf>
    <x:xf numFmtId="0" fontId="8" fillId="3" borderId="5" xfId="0" applyNumberFormat="1" applyFont="1" applyFill="1" applyBorder="1" applyAlignment="1">
      <x:alignment horizontal="center" wrapText="1"/>
    </x:xf>
    <x:xf numFmtId="0" fontId="8" fillId="3" borderId="6" xfId="0" applyNumberFormat="1" applyFont="1" applyFill="1" applyBorder="1" applyAlignment="1">
      <x:alignment horizontal="center" wrapText="1"/>
    </x:xf>
    <x:xf numFmtId="0" fontId="8" fillId="3" borderId="7" xfId="0" applyNumberFormat="1" applyFont="1" applyFill="1" applyBorder="1" applyAlignment="1">
      <x:alignment horizontal="center" wrapText="1"/>
    </x:xf>
    <x:xf numFmtId="0" fontId="8" fillId="3" borderId="8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9" xfId="0" applyNumberFormat="1" applyFont="1" applyFill="1" applyBorder="1" applyAlignment="1">
      <x:alignment horizontal="center" wrapText="1"/>
    </x:xf>
    <x:xf numFmtId="0" fontId="8" fillId="3" borderId="10" xfId="0" applyNumberFormat="1" applyFont="1" applyFill="1" applyBorder="1" applyAlignment="1">
      <x:alignment horizontal="center" wrapText="1"/>
    </x:xf>
    <x:xf numFmtId="0" fontId="8" fillId="3" borderId="11" xfId="0" applyNumberFormat="1" applyFont="1" applyFill="1" applyBorder="1" applyAlignment="1">
      <x:alignment horizontal="center" wrapText="1"/>
    </x:xf>
    <x:xf numFmtId="0" fontId="8" fillId="3" borderId="12" xfId="0" applyNumberFormat="1" applyFont="1" applyFill="1" applyBorder="1" applyAlignment="1">
      <x:alignment horizontal="center" wrapText="1"/>
    </x:xf>
    <x:xf numFmtId="0" fontId="8" fillId="3" borderId="5" xfId="0" applyNumberFormat="1" applyFont="1" applyFill="1" applyBorder="1" applyAlignment="1">
      <x:alignment horizontal="center" vertical="center" wrapText="1"/>
    </x:xf>
    <x:xf numFmtId="0" fontId="8" fillId="3" borderId="6" xfId="0" applyNumberFormat="1" applyFont="1" applyFill="1" applyBorder="1" applyAlignment="1">
      <x:alignment horizontal="center" vertical="center" wrapText="1"/>
    </x:xf>
    <x:xf numFmtId="0" fontId="8" fillId="3" borderId="7" xfId="0" applyNumberFormat="1" applyFont="1" applyFill="1" applyBorder="1" applyAlignment="1">
      <x:alignment horizontal="center" vertical="center" wrapText="1"/>
    </x:xf>
    <x:xf numFmtId="0" fontId="8" fillId="3" borderId="8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8" fillId="3" borderId="9" xfId="0" applyNumberFormat="1" applyFont="1" applyFill="1" applyBorder="1" applyAlignment="1">
      <x:alignment horizontal="center" vertical="center" wrapText="1"/>
    </x:xf>
    <x:xf numFmtId="0" fontId="8" fillId="3" borderId="10" xfId="0" applyNumberFormat="1" applyFont="1" applyFill="1" applyBorder="1" applyAlignment="1">
      <x:alignment horizontal="center" vertical="center" wrapText="1"/>
    </x:xf>
    <x:xf numFmtId="0" fontId="8" fillId="3" borderId="11" xfId="0" applyNumberFormat="1" applyFont="1" applyFill="1" applyBorder="1" applyAlignment="1">
      <x:alignment horizontal="center" vertical="center" wrapText="1"/>
    </x:xf>
    <x:xf numFmtId="0" fontId="8" fillId="3" borderId="1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13" xfId="0" applyNumberFormat="1" applyFont="1" applyFill="1" applyBorder="1"/>
    <x:xf numFmtId="0" fontId="9" fillId="6" borderId="14" xfId="0" applyNumberFormat="1" applyFont="1" applyFill="1" applyBorder="1"/>
    <x:xf numFmtId="0" fontId="9" fillId="6" borderId="15" xfId="0" applyNumberFormat="1" applyFont="1" applyFill="1" applyBorder="1"/>
    <x:xf numFmtId="0" fontId="9" fillId="6" borderId="16" xfId="0" applyNumberFormat="1" applyFont="1" applyFill="1" applyBorder="1"/>
    <x:xf numFmtId="0" fontId="9" fillId="6" borderId="17" xfId="0" applyNumberFormat="1" applyFont="1" applyFill="1" applyBorder="1"/>
    <x:xf numFmtId="0" fontId="9" fillId="6" borderId="18" xfId="0" applyNumberFormat="1" applyFont="1" applyFill="1" applyBorder="1"/>
    <x:xf numFmtId="0" fontId="9" fillId="6" borderId="19" xfId="0" applyNumberFormat="1" applyFont="1" applyFill="1" applyBorder="1"/>
    <x:xf numFmtId="0" fontId="9" fillId="6" borderId="20" xfId="0" applyNumberFormat="1" applyFont="1" applyFill="1" applyBorder="1"/>
    <x:xf numFmtId="0" fontId="9" fillId="6" borderId="13" xfId="0" applyNumberFormat="1" applyFont="1" applyFill="1" applyBorder="1" applyAlignment="1">
      <x:alignment wrapText="1"/>
    </x:xf>
    <x:xf numFmtId="0" fontId="9" fillId="6" borderId="14" xfId="0" applyNumberFormat="1" applyFont="1" applyFill="1" applyBorder="1" applyAlignment="1">
      <x:alignment wrapText="1"/>
    </x:xf>
    <x:xf numFmtId="0" fontId="9" fillId="6" borderId="15" xfId="0" applyNumberFormat="1" applyFont="1" applyFill="1" applyBorder="1" applyAlignment="1">
      <x:alignment wrapText="1"/>
    </x:xf>
    <x:xf numFmtId="0" fontId="9" fillId="6" borderId="16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17" xfId="0" applyNumberFormat="1" applyFont="1" applyFill="1" applyBorder="1" applyAlignment="1">
      <x:alignment wrapText="1"/>
    </x:xf>
    <x:xf numFmtId="0" fontId="9" fillId="6" borderId="18" xfId="0" applyNumberFormat="1" applyFont="1" applyFill="1" applyBorder="1" applyAlignment="1">
      <x:alignment wrapText="1"/>
    </x:xf>
    <x:xf numFmtId="0" fontId="9" fillId="6" borderId="19" xfId="0" applyNumberFormat="1" applyFont="1" applyFill="1" applyBorder="1" applyAlignment="1">
      <x:alignment wrapText="1"/>
    </x:xf>
    <x:xf numFmtId="0" fontId="9" fillId="6" borderId="20" xfId="0" applyNumberFormat="1" applyFont="1" applyFill="1" applyBorder="1" applyAlignment="1">
      <x:alignment wrapText="1"/>
    </x:xf>
    <x:xf numFmtId="0" fontId="9" fillId="6" borderId="13" xfId="0" applyNumberFormat="1" applyFont="1" applyFill="1" applyBorder="1" applyAlignment="1">
      <x:alignment vertical="center" wrapText="1"/>
    </x:xf>
    <x:xf numFmtId="0" fontId="9" fillId="6" borderId="14" xfId="0" applyNumberFormat="1" applyFont="1" applyFill="1" applyBorder="1" applyAlignment="1">
      <x:alignment vertical="center" wrapText="1"/>
    </x:xf>
    <x:xf numFmtId="0" fontId="9" fillId="6" borderId="15" xfId="0" applyNumberFormat="1" applyFont="1" applyFill="1" applyBorder="1" applyAlignment="1">
      <x:alignment vertical="center" wrapText="1"/>
    </x:xf>
    <x:xf numFmtId="0" fontId="9" fillId="6" borderId="16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17" xfId="0" applyNumberFormat="1" applyFont="1" applyFill="1" applyBorder="1" applyAlignment="1">
      <x:alignment vertical="center" wrapText="1"/>
    </x:xf>
    <x:xf numFmtId="0" fontId="9" fillId="6" borderId="18" xfId="0" applyNumberFormat="1" applyFont="1" applyFill="1" applyBorder="1" applyAlignment="1">
      <x:alignment vertical="center" wrapText="1"/>
    </x:xf>
    <x:xf numFmtId="0" fontId="9" fillId="6" borderId="19" xfId="0" applyNumberFormat="1" applyFont="1" applyFill="1" applyBorder="1" applyAlignment="1">
      <x:alignment vertical="center" wrapText="1"/>
    </x:xf>
    <x:xf numFmtId="0" fontId="9" fillId="6" borderId="2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C94C4C"/>
      </x:font>
      <x:fill>
        <x:patternFill>
          <x:bgColor rgb="FFFDE8E8"/>
        </x:patternFill>
      </x:fill>
    </x:dxf>
    <x:dxf>
      <x:font>
        <x:b/>
        <x:color rgb="FFC94C4C"/>
      </x:font>
      <x:fill>
        <x:patternFill>
          <x:bgColor rgb="FFFDE8E8"/>
        </x:patternFill>
      </x:fill>
    </x:dxf>
    <x:dxf>
      <x:font>
        <x:b/>
        <x:color rgb="FFC94C4C"/>
      </x:font>
      <x:fill>
        <x:patternFill>
          <x:bgColor rgb="FFFDE8E8"/>
        </x:patternFill>
      </x:fill>
    </x:dxf>
    <x:dxf>
      <x:font>
        <x:b/>
        <x:color rgb="FF8A5A00"/>
      </x:font>
      <x:fill>
        <x:patternFill>
          <x:bgColor rgb="FFFFF3CD"/>
        </x:patternFill>
      </x:fill>
    </x:dxf>
    <x:dxf>
      <x:font>
        <x:b/>
        <x:color rgb="FF257A55"/>
      </x:font>
      <x:fill>
        <x:patternFill patternType="solid">
          <x:bgColor rgb="FFE5F5ED"/>
        </x:patternFill>
      </x:fill>
    </x:dxf>
    <x:dxf>
      <x:font>
        <x:b/>
        <x:color rgb="FFC94C4C"/>
      </x:font>
      <x:fill>
        <x:patternFill patternType="solid">
          <x:bgColor rgb="FFFDE8E8"/>
        </x:patternFill>
      </x:fill>
    </x:dxf>
    <x:dxf>
      <x:font>
        <x:b/>
        <x:color rgb="FF257A55"/>
      </x:font>
      <x:fill>
        <x:patternFill patternType="solid">
          <x:bgColor rgb="FFE5F5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a52fa9f734294" /><Relationship Type="http://schemas.openxmlformats.org/officeDocument/2006/relationships/theme" Target="/xl/theme/theme1.xml" Id="R329be14783ee406c" /><Relationship Type="http://schemas.openxmlformats.org/officeDocument/2006/relationships/sharedStrings" Target="/xl/sharedStrings.xml" Id="R2a06be2d3ec24a59" /><Relationship Type="http://schemas.openxmlformats.org/officeDocument/2006/relationships/worksheet" Target="/xl/worksheets/sheet1.xml" Id="R521422fb370d420d" /><Relationship Type="http://schemas.openxmlformats.org/officeDocument/2006/relationships/worksheet" Target="/xl/worksheets/sheet2.xml" Id="Rab0c53e6fa204efe" /><Relationship Type="http://schemas.openxmlformats.org/officeDocument/2006/relationships/worksheet" Target="/xl/worksheets/sheet3.xml" Id="R1737b49a4b914c30" /><Relationship Type="http://schemas.openxmlformats.org/officeDocument/2006/relationships/worksheet" Target="/xl/worksheets/sheet4.xml" Id="Rb42de5ea02764f03" /><Relationship Type="http://schemas.openxmlformats.org/officeDocument/2006/relationships/worksheet" Target="/xl/worksheets/sheet5.xml" Id="Reab222f5c8f743f0" /><Relationship Type="http://schemas.openxmlformats.org/officeDocument/2006/relationships/worksheet" Target="/xl/worksheets/sheet6.xml" Id="R5212bad034cf479c" /><Relationship Type="http://schemas.openxmlformats.org/officeDocument/2006/relationships/worksheet" Target="/xl/worksheets/sheet7.xml" Id="Rb488a81798d34da6" /><Relationship Type="http://schemas.openxmlformats.org/officeDocument/2006/relationships/worksheet" Target="/xl/worksheets/sheet8.xml" Id="R7269b47a2bb34f43" /><Relationship Type="http://schemas.openxmlformats.org/officeDocument/2006/relationships/worksheet" Target="/xl/worksheets/sheet9.xml" Id="R18c6efd8f23d4f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4c78eeaa2f4f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各模块平均得分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平均得分</c:v>
          </c:tx>
          <c:cat>
            <c:strRef>
              <c:f>'模块分析'!$A$4:$A$7</c:f>
              <c:strCache>
                <c:ptCount val="0"/>
              </c:strCache>
            </c:strRef>
          </c:cat>
          <c:val>
            <c:numRef>
              <c:f>'模块分析'!$B$4:$B$7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4c78eeaa2f4ff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nowledgeBaseTable" displayName="KnowledgeBaseTable" ref="A3:L23" headerRowCount="1" totalsRowCount="0" totalsRowShown="0">
  <x:tableColumns count="12">
    <x:tableColumn id="1" name="知识ID"/>
    <x:tableColumn id="2" name="产品类别"/>
    <x:tableColumn id="3" name="问题分类"/>
    <x:tableColumn id="4" name="用户常见问法"/>
    <x:tableColumn id="5" name="标准答案"/>
    <x:tableColumn id="6" name="排查步骤"/>
    <x:tableColumn id="7" name="客服行动"/>
    <x:tableColumn id="8" name="风险等级"/>
    <x:tableColumn id="9" name="升级条件"/>
    <x:tableColumn id="10" name="信息性质"/>
    <x:tableColumn id="11" name="版本号"/>
    <x:tableColumn id="12" name="更新时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iptsTable" displayName="ScriptsTable" ref="A3:H13" headerRowCount="1" totalsRowCount="0" totalsRowShown="0">
  <x:tableColumns count="8">
    <x:tableColumn id="1" name="话术ID"/>
    <x:tableColumn id="2" name="环节"/>
    <x:tableColumn id="3" name="适用场景"/>
    <x:tableColumn id="4" name="推荐话术"/>
    <x:tableColumn id="5" name="表达目标"/>
    <x:tableColumn id="6" name="禁用表达"/>
    <x:tableColumn id="7" name="风险等级"/>
    <x:tableColumn id="8" name="关联模块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stionBankTable" displayName="QuestionBankTable" ref="A3:K33" headerRowCount="1" totalsRowCount="0" totalsRowShown="0">
  <x:tableColumns count="11">
    <x:tableColumn id="1" name="题号"/>
    <x:tableColumn id="2" name="模块"/>
    <x:tableColumn id="3" name="题型"/>
    <x:tableColumn id="4" name="题目"/>
    <x:tableColumn id="5" name="选项A"/>
    <x:tableColumn id="6" name="选项B"/>
    <x:tableColumn id="7" name="选项C"/>
    <x:tableColumn id="8" name="选项D"/>
    <x:tableColumn id="9" name="答案"/>
    <x:tableColumn id="10" name="分值"/>
    <x:tableColumn id="11" name="难度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oresTable" displayName="ScoresTable" ref="A3:K15" headerRowCount="1" totalsRowCount="0" totalsRowShown="0">
  <x:tableColumns count="11">
    <x:tableColumn id="1" name="员工编号"/>
    <x:tableColumn id="2" name="姓名"/>
    <x:tableColumn id="3" name="产品知识(30)"/>
    <x:tableColumn id="4" name="故障排查(30)"/>
    <x:tableColumn id="5" name="售后流程(20)"/>
    <x:tableColumn id="6" name="服务规范(20)"/>
    <x:tableColumn id="7" name="总分"/>
    <x:tableColumn id="8" name="是否及格"/>
    <x:tableColumn id="9" name="薄弱模块"/>
    <x:tableColumn id="10" name="辅导优先级"/>
    <x:tableColumn id="11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sultationLogTable" displayName="ConsultationLogTable" ref="A3:J33" headerRowCount="1" totalsRowCount="0" totalsRowShown="0">
  <x:tableColumns count="10">
    <x:tableColumn id="1" name="记录ID"/>
    <x:tableColumn id="2" name="日期"/>
    <x:tableColumn id="3" name="产品类别"/>
    <x:tableColumn id="4" name="咨询主题"/>
    <x:tableColumn id="5" name="用户问题摘要"/>
    <x:tableColumn id="6" name="匹配知识ID"/>
    <x:tableColumn id="7" name="是否解决"/>
    <x:tableColumn id="8" name="风险等级"/>
    <x:tableColumn id="9" name="知识缺口"/>
    <x:tableColumn id="10" name="迭代建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ublicSourcesTable" displayName="PublicSourcesTable" ref="A3:J7" headerRowCount="1" totalsRowCount="0" totalsRowShown="0">
  <x:tableColumns count="10">
    <x:tableColumn id="1" name="来源编号"/>
    <x:tableColumn id="2" name="品牌"/>
    <x:tableColumn id="3" name="产品类别"/>
    <x:tableColumn id="4" name="适用型号"/>
    <x:tableColumn id="5" name="资料名称"/>
    <x:tableColumn id="6" name="使用章节"/>
    <x:tableColumn id="7" name="资料类型"/>
    <x:tableColumn id="8" name="官方链接"/>
    <x:tableColumn id="9" name="提取日期"/>
    <x:tableColumn id="10" name="复核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erifiedKnowledgeTable" displayName="VerifiedKnowledgeTable" ref="A3:P23" headerRowCount="1" totalsRowCount="0" totalsRowShown="0">
  <x:tableColumns count="16">
    <x:tableColumn id="1" name="知识编号"/>
    <x:tableColumn id="2" name="产品类别"/>
    <x:tableColumn id="3" name="问题分类"/>
    <x:tableColumn id="4" name="用户常见问法"/>
    <x:tableColumn id="5" name="标准答案"/>
    <x:tableColumn id="6" name="排查步骤"/>
    <x:tableColumn id="7" name="客服行动"/>
    <x:tableColumn id="8" name="风险等级"/>
    <x:tableColumn id="9" name="升级条件"/>
    <x:tableColumn id="10" name="适用范围/章节"/>
    <x:tableColumn id="11" name="来源编号"/>
    <x:tableColumn id="12" name="信息性质"/>
    <x:tableColumn id="13" name="版本号"/>
    <x:tableColumn id="14" name="复核日期"/>
    <x:tableColumn id="15" name="复核状态"/>
    <x:tableColumn id="16" name="官方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316952931b4f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81da1298754c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b39895cf3a4d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c877b4635d4e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d98531bbff4d47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8b9ca3b64d74b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43b1c29a12745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58a5e916b6e4c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AI赋能家电售后知识库与客服培训体系</x:v>
      </x:c>
    </x:row>
    <x:row r="2" ht="28" customHeight="1">
      <x:c r="A2" s="6" t="str">
        <x:v>个人模拟项目｜数据均为虚构样本｜目标：让知识准确、易查、可训练、可迭代</x:v>
      </x:c>
    </x:row>
    <x:row r="4" ht="28" customHeight="1">
      <x:c r="A4" s="11" t="str">
        <x:v>核心指标</x:v>
      </x:c>
      <x:c r="B4" s="11" t="str">
        <x:v>当前结果</x:v>
      </x:c>
      <x:c r="D4" s="11" t="str">
        <x:v>项目闭环</x:v>
      </x:c>
      <x:c r="E4" s="11"/>
      <x:c r="F4" s="11"/>
      <x:c r="G4" s="11"/>
      <x:c r="H4" s="11"/>
    </x:row>
    <x:row r="5">
      <x:c r="A5" s="39" t="str">
        <x:v>知识条目数</x:v>
      </x:c>
      <x:c r="B5" s="42" t="n">
        <x:f>COUNTA('售后知识库'!A4:A23)</x:f>
        <x:v>20</x:v>
      </x:c>
      <x:c r="D5" s="74" t="str">
        <x:v>公开资料/模拟规则
↓
结构化知识库与标准话术
↓
新人培训与月度考试
↓
成绩/咨询数据分析
↓
专项辅导与知识库迭代</x:v>
      </x:c>
      <x:c r="E5" s="75"/>
      <x:c r="F5" s="75"/>
      <x:c r="G5" s="75"/>
      <x:c r="H5" s="76"/>
    </x:row>
    <x:row r="6">
      <x:c r="A6" s="40" t="str">
        <x:v>高风险条目数</x:v>
      </x:c>
      <x:c r="B6" s="43" t="n">
        <x:f>COUNTIF('售后知识库'!H4:H23,"高")</x:f>
        <x:v>7</x:v>
      </x:c>
      <x:c r="D6" s="77"/>
      <x:c r="E6" s="78"/>
      <x:c r="F6" s="78"/>
      <x:c r="G6" s="78"/>
      <x:c r="H6" s="79"/>
    </x:row>
    <x:row r="7">
      <x:c r="A7" s="40" t="str">
        <x:v>模拟咨询量</x:v>
      </x:c>
      <x:c r="B7" s="43" t="n">
        <x:f>COUNTA('咨询记录'!A4:A33)</x:f>
        <x:v>30</x:v>
      </x:c>
      <x:c r="D7" s="77"/>
      <x:c r="E7" s="78"/>
      <x:c r="F7" s="78"/>
      <x:c r="G7" s="78"/>
      <x:c r="H7" s="79"/>
    </x:row>
    <x:row r="8">
      <x:c r="A8" s="40" t="str">
        <x:v>知识缺口数</x:v>
      </x:c>
      <x:c r="B8" s="43" t="n">
        <x:f>COUNTIF('咨询记录'!I4:I33,"是")</x:f>
        <x:v>6</x:v>
      </x:c>
      <x:c r="D8" s="77"/>
      <x:c r="E8" s="78"/>
      <x:c r="F8" s="78"/>
      <x:c r="G8" s="78"/>
      <x:c r="H8" s="79"/>
    </x:row>
    <x:row r="9">
      <x:c r="A9" s="40" t="str">
        <x:v>团队平均分</x:v>
      </x:c>
      <x:c r="B9" s="45" t="n">
        <x:f>AVERAGE('成绩明细'!G4:G15)</x:f>
        <x:v>78.58333333333333</x:v>
      </x:c>
      <x:c r="D9" s="80"/>
      <x:c r="E9" s="81"/>
      <x:c r="F9" s="81"/>
      <x:c r="G9" s="81"/>
      <x:c r="H9" s="82"/>
    </x:row>
    <x:row r="10">
      <x:c r="A10" s="41" t="str">
        <x:v>考试及格率</x:v>
      </x:c>
      <x:c r="B10" s="46" t="n">
        <x:f>COUNTIF('成绩明细'!H4:H15,"及格")/COUNTA('成绩明细'!A4:A15)</x:f>
        <x:v>0.5</x:v>
      </x:c>
    </x:row>
    <x:row r="13" ht="28" customHeight="1">
      <x:c r="A13" s="11" t="str">
        <x:v>下月行动建议</x:v>
      </x:c>
      <x:c r="B13" s="11"/>
      <x:c r="C13" s="11"/>
      <x:c r="D13" s="11"/>
      <x:c r="E13" s="11"/>
      <x:c r="F13" s="11"/>
      <x:c r="G13" s="11"/>
      <x:c r="H13" s="11"/>
    </x:row>
    <x:row r="14">
      <x:c r="A14" s="102" t="str">
        <x:f>"1. 优先辅导："&amp;COUNTIF('成绩明细'!J4:J15,"高")&amp;"人；2. 团队薄弱模块："&amp;INDEX('模块分析'!A4:A7,MATCH(MIN('模块分析'!D4:D7),'模块分析'!D4:D7,0))&amp;"；3. 本期知识缺口："&amp;B8&amp;"条；4. 高风险咨询必须执行停用与升级机制。"</x:f>
        <x:v>1. 优先辅导：4人；2. 团队薄弱模块：故障排查；3. 本期知识缺口：6条；4. 高风险咨询必须执行停用与升级机制。</x:v>
      </x:c>
      <x:c r="B14" s="103"/>
      <x:c r="C14" s="103"/>
      <x:c r="D14" s="103"/>
      <x:c r="E14" s="103"/>
      <x:c r="F14" s="103"/>
      <x:c r="G14" s="103"/>
      <x:c r="H14" s="104"/>
    </x:row>
    <x:row r="15">
      <x:c r="A15" s="105"/>
      <x:c r="B15" s="106"/>
      <x:c r="C15" s="106"/>
      <x:c r="D15" s="106"/>
      <x:c r="E15" s="106"/>
      <x:c r="F15" s="106"/>
      <x:c r="G15" s="106"/>
      <x:c r="H15" s="107"/>
    </x:row>
    <x:row r="16">
      <x:c r="A16" s="105"/>
      <x:c r="B16" s="106"/>
      <x:c r="C16" s="106"/>
      <x:c r="D16" s="106"/>
      <x:c r="E16" s="106"/>
      <x:c r="F16" s="106"/>
      <x:c r="G16" s="106"/>
      <x:c r="H16" s="107"/>
    </x:row>
    <x:row r="17">
      <x:c r="A17" s="108"/>
      <x:c r="B17" s="109"/>
      <x:c r="C17" s="109"/>
      <x:c r="D17" s="109"/>
      <x:c r="E17" s="109"/>
      <x:c r="F17" s="109"/>
      <x:c r="G17" s="109"/>
      <x:c r="H17" s="110"/>
    </x:row>
    <x:row r="20" ht="34" customHeight="1">
      <x:c r="A20" s="113" t="str">
        <x:v>使用说明：先维护“售后知识库”，再用“咨询记录”发现缺口，用“月考题库/成绩明细”检验培训效果，最终在本看板形成迭代决策。</x:v>
      </x:c>
      <x:c r="B20" s="113"/>
      <x:c r="C20" s="113"/>
      <x:c r="D20" s="113"/>
      <x:c r="E20" s="113"/>
      <x:c r="F20" s="113"/>
      <x:c r="G20" s="113"/>
      <x:c r="H20" s="113"/>
    </x:row>
  </x:sheetData>
  <x:mergeCells>
    <x:mergeCell ref="A1:H1"/>
    <x:mergeCell ref="A2:H2"/>
    <x:mergeCell ref="D4:H4"/>
    <x:mergeCell ref="D5:H9"/>
    <x:mergeCell ref="A13:H13"/>
    <x:mergeCell ref="A14:H17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4" hidden="0" customWidth="1"/>
    <x:col min="5" max="5" width="40" hidden="0" customWidth="1"/>
    <x:col min="6" max="6" width="42" hidden="0" customWidth="1"/>
    <x:col min="7" max="7" width="24" hidden="0" customWidth="1"/>
    <x:col min="8" max="8" width="10" hidden="0" customWidth="1"/>
    <x:col min="9" max="9" width="28" hidden="0" customWidth="1"/>
    <x:col min="10" max="10" width="16" hidden="0" customWidth="1"/>
    <x:col min="11" max="11" width="10" hidden="0" customWidth="1"/>
    <x:col min="12" max="12" width="13" hidden="0" customWidth="1"/>
  </x:cols>
  <x:sheetData>
    <x:row r="1" ht="34" customHeight="1">
      <x:c r="A1" s="3" t="str">
        <x:v>家电售后知识库</x:v>
      </x:c>
    </x:row>
    <x:row r="2" ht="28" customHeight="1">
      <x:c r="A2" s="6" t="str">
        <x:v>个人模拟项目｜政策条目均为模拟规则；实际工作中须以企业审核文件为准</x:v>
      </x:c>
    </x:row>
    <x:row r="3" ht="28" customHeight="1">
      <x:c r="A3" s="11" t="str">
        <x:v>知识ID</x:v>
      </x:c>
      <x:c r="B3" s="11" t="str">
        <x:v>产品类别</x:v>
      </x:c>
      <x:c r="C3" s="11" t="str">
        <x:v>问题分类</x:v>
      </x:c>
      <x:c r="D3" s="11" t="str">
        <x:v>用户常见问法</x:v>
      </x:c>
      <x:c r="E3" s="11" t="str">
        <x:v>标准答案</x:v>
      </x:c>
      <x:c r="F3" s="11" t="str">
        <x:v>排查步骤</x:v>
      </x:c>
      <x:c r="G3" s="11" t="str">
        <x:v>客服行动</x:v>
      </x:c>
      <x:c r="H3" s="11" t="str">
        <x:v>风险等级</x:v>
      </x:c>
      <x:c r="I3" s="11" t="str">
        <x:v>升级条件</x:v>
      </x:c>
      <x:c r="J3" s="11" t="str">
        <x:v>信息性质</x:v>
      </x:c>
      <x:c r="K3" s="11" t="str">
        <x:v>版本号</x:v>
      </x:c>
      <x:c r="L3" s="11" t="str">
        <x:v>更新时间</x:v>
      </x:c>
    </x:row>
    <x:row r="4">
      <x:c r="A4" s="19" t="str">
        <x:v>KB001</x:v>
      </x:c>
      <x:c r="B4" s="19" t="str">
        <x:v>养生壶</x:v>
      </x:c>
      <x:c r="C4" s="19" t="str">
        <x:v>首次使用</x:v>
      </x:c>
      <x:c r="D4" s="19" t="str">
        <x:v>新壶第一次怎么用？</x:v>
      </x:c>
      <x:c r="E4" s="19" t="str">
        <x:v>清洗壶体后加清水至适中水位，完成一次烧水并倒掉，再正常使用。</x:v>
      </x:c>
      <x:c r="F4" s="19" t="str">
        <x:v>1. 检查包装及配件 2. 清洗壶内 3. 加清水试烧 4. 倒掉试烧用水</x:v>
      </x:c>
      <x:c r="G4" s="19" t="str">
        <x:v>指导用户完成首次清洁与试烧</x:v>
      </x:c>
      <x:c r="H4" s="19" t="str">
        <x:v>低</x:v>
      </x:c>
      <x:c r="I4" s="19" t="str">
        <x:v>出现破损、漏电或明显异味不消失</x:v>
      </x:c>
      <x:c r="J4" s="19" t="str">
        <x:v>通用操作建议</x:v>
      </x:c>
      <x:c r="K4" s="19" t="str">
        <x:v>V1.0</x:v>
      </x:c>
      <x:c r="L4" s="22" t="n">
        <x:v>46264</x:v>
      </x:c>
    </x:row>
    <x:row r="5">
      <x:c r="A5" s="20" t="str">
        <x:v>KB002</x:v>
      </x:c>
      <x:c r="B5" s="20" t="str">
        <x:v>养生壶</x:v>
      </x:c>
      <x:c r="C5" s="20" t="str">
        <x:v>异味</x:v>
      </x:c>
      <x:c r="D5" s="20" t="str">
        <x:v>使用时有塑料味怎么办？</x:v>
      </x:c>
      <x:c r="E5" s="20" t="str">
        <x:v>首次使用的轻微气味可先清洗和试烧；若气味持续、刺鼻或伴随冒烟，请立即停止使用并转人工核查。</x:v>
      </x:c>
      <x:c r="F5" s="20" t="str">
        <x:v>1. 确认是否首次使用 2. 清洗并清水试烧 3. 判断是否刺鼻/冒烟 4. 必要时停机</x:v>
      </x:c>
      <x:c r="G5" s="20" t="str">
        <x:v>先安抚，再按风险分级处理</x:v>
      </x:c>
      <x:c r="H5" s="20" t="str">
        <x:v>中</x:v>
      </x:c>
      <x:c r="I5" s="20" t="str">
        <x:v>刺鼻、冒烟、焦糊味或多次清洗后仍持续</x:v>
      </x:c>
      <x:c r="J5" s="20" t="str">
        <x:v>安全边界建议</x:v>
      </x:c>
      <x:c r="K5" s="20" t="str">
        <x:v>V1.0</x:v>
      </x:c>
      <x:c r="L5" s="23" t="n">
        <x:v>46264</x:v>
      </x:c>
    </x:row>
    <x:row r="6">
      <x:c r="A6" s="20" t="str">
        <x:v>KB003</x:v>
      </x:c>
      <x:c r="B6" s="20" t="str">
        <x:v>养生壶</x:v>
      </x:c>
      <x:c r="C6" s="20" t="str">
        <x:v>水垢清洁</x:v>
      </x:c>
      <x:c r="D6" s="20" t="str">
        <x:v>壶底有白色斑点是不是坏了？</x:v>
      </x:c>
      <x:c r="E6" s="20" t="str">
        <x:v>多数白色斑点可能是水中矿物质形成的水垢，可断电冷却后按说明进行除垢。</x:v>
      </x:c>
      <x:c r="F6" s="20" t="str">
        <x:v>1. 确认斑点位置 2. 排除涂层脱落 3. 断电冷却 4. 使用适配清洁方式</x:v>
      </x:c>
      <x:c r="G6" s="20" t="str">
        <x:v>解释原因并提供清洁步骤</x:v>
      </x:c>
      <x:c r="H6" s="20" t="str">
        <x:v>低</x:v>
      </x:c>
      <x:c r="I6" s="20" t="str">
        <x:v>表面脱落、裂纹或清洁后异常仍存在</x:v>
      </x:c>
      <x:c r="J6" s="20" t="str">
        <x:v>通用维护建议</x:v>
      </x:c>
      <x:c r="K6" s="20" t="str">
        <x:v>V1.0</x:v>
      </x:c>
      <x:c r="L6" s="23" t="n">
        <x:v>46264</x:v>
      </x:c>
    </x:row>
    <x:row r="7">
      <x:c r="A7" s="20" t="str">
        <x:v>KB004</x:v>
      </x:c>
      <x:c r="B7" s="20" t="str">
        <x:v>养生壶</x:v>
      </x:c>
      <x:c r="C7" s="20" t="str">
        <x:v>不加热</x:v>
      </x:c>
      <x:c r="D7" s="20" t="str">
        <x:v>通电了但不加热怎么办？</x:v>
      </x:c>
      <x:c r="E7" s="20" t="str">
        <x:v>请先确认插座、电源连接、壶体放置和模式设置；仍不加热时停止反复尝试并转售后检测。</x:v>
      </x:c>
      <x:c r="F7" s="20" t="str">
        <x:v>1. 测试插座 2. 重放壶体 3. 检查模式 4. 冷却后重试一次 5. 转检测</x:v>
      </x:c>
      <x:c r="G7" s="20" t="str">
        <x:v>完成基础排查后升级</x:v>
      </x:c>
      <x:c r="H7" s="20" t="str">
        <x:v>中</x:v>
      </x:c>
      <x:c r="I7" s="20" t="str">
        <x:v>反复断电、焦味、异常发热或排查无效</x:v>
      </x:c>
      <x:c r="J7" s="20" t="str">
        <x:v>故障排查建议</x:v>
      </x:c>
      <x:c r="K7" s="20" t="str">
        <x:v>V1.0</x:v>
      </x:c>
      <x:c r="L7" s="23" t="n">
        <x:v>46264</x:v>
      </x:c>
    </x:row>
    <x:row r="8">
      <x:c r="A8" s="20" t="str">
        <x:v>KB005</x:v>
      </x:c>
      <x:c r="B8" s="20" t="str">
        <x:v>养生壶</x:v>
      </x:c>
      <x:c r="C8" s="20" t="str">
        <x:v>溢出</x:v>
      </x:c>
      <x:c r="D8" s="20" t="str">
        <x:v>煮东西总是溢出来怎么办？</x:v>
      </x:c>
      <x:c r="E8" s="20" t="str">
        <x:v>食材含淀粉或起泡较多时更易溢出，请减少食材和水量，并选用适合的功能，勿超过规定水位。</x:v>
      </x:c>
      <x:c r="F8" s="20" t="str">
        <x:v>1. 询问食材 2. 核对水位 3. 核对功能 4. 建议减少用量</x:v>
      </x:c>
      <x:c r="G8" s="20" t="str">
        <x:v>说明使用边界并提醒看护</x:v>
      </x:c>
      <x:c r="H8" s="20" t="str">
        <x:v>中</x:v>
      </x:c>
      <x:c r="I8" s="20" t="str">
        <x:v>液体进入底座或电器部件</x:v>
      </x:c>
      <x:c r="J8" s="20" t="str">
        <x:v>通用操作建议</x:v>
      </x:c>
      <x:c r="K8" s="20" t="str">
        <x:v>V1.0</x:v>
      </x:c>
      <x:c r="L8" s="23" t="n">
        <x:v>46264</x:v>
      </x:c>
    </x:row>
    <x:row r="9">
      <x:c r="A9" s="20" t="str">
        <x:v>KB006</x:v>
      </x:c>
      <x:c r="B9" s="20" t="str">
        <x:v>电热水壶</x:v>
      </x:c>
      <x:c r="C9" s="20" t="str">
        <x:v>不通电</x:v>
      </x:c>
      <x:c r="D9" s="20" t="str">
        <x:v>按开关没反应</x:v>
      </x:c>
      <x:c r="E9" s="20" t="str">
        <x:v>请确认插座正常、底座接触良好且壶内水量合适；若电源线破损或有烧焦痕迹，应立即停用。</x:v>
      </x:c>
      <x:c r="F9" s="20" t="str">
        <x:v>1. 检查插座 2. 检查底座 3. 检查水位 4. 观察线材与焦痕</x:v>
      </x:c>
      <x:c r="G9" s="20" t="str">
        <x:v>安全优先，必要时停止排查</x:v>
      </x:c>
      <x:c r="H9" s="20" t="str">
        <x:v>高</x:v>
      </x:c>
      <x:c r="I9" s="20" t="str">
        <x:v>线材破损、漏电感、焦痕或冒烟</x:v>
      </x:c>
      <x:c r="J9" s="20" t="str">
        <x:v>安全边界建议</x:v>
      </x:c>
      <x:c r="K9" s="20" t="str">
        <x:v>V1.0</x:v>
      </x:c>
      <x:c r="L9" s="23" t="n">
        <x:v>46264</x:v>
      </x:c>
    </x:row>
    <x:row r="10">
      <x:c r="A10" s="20" t="str">
        <x:v>KB007</x:v>
      </x:c>
      <x:c r="B10" s="20" t="str">
        <x:v>电热水壶</x:v>
      </x:c>
      <x:c r="C10" s="20" t="str">
        <x:v>自动断电</x:v>
      </x:c>
      <x:c r="D10" s="20" t="str">
        <x:v>水开了不断电怎么办？</x:v>
      </x:c>
      <x:c r="E10" s="20" t="str">
        <x:v>请立即手动断电并停止使用，不建议用户自行拆机，需转售后检测。</x:v>
      </x:c>
      <x:c r="F10" s="20" t="str">
        <x:v>1. 手动断电 2. 冷却 3. 停止使用 4. 记录现象并转售后</x:v>
      </x:c>
      <x:c r="G10" s="20" t="str">
        <x:v>立即升级安全故障</x:v>
      </x:c>
      <x:c r="H10" s="20" t="str">
        <x:v>高</x:v>
      </x:c>
      <x:c r="I10" s="20" t="str">
        <x:v>自动断电功能失效</x:v>
      </x:c>
      <x:c r="J10" s="20" t="str">
        <x:v>安全边界建议</x:v>
      </x:c>
      <x:c r="K10" s="20" t="str">
        <x:v>V1.0</x:v>
      </x:c>
      <x:c r="L10" s="23" t="n">
        <x:v>46264</x:v>
      </x:c>
    </x:row>
    <x:row r="11">
      <x:c r="A11" s="20" t="str">
        <x:v>KB008</x:v>
      </x:c>
      <x:c r="B11" s="20" t="str">
        <x:v>电热水壶</x:v>
      </x:c>
      <x:c r="C11" s="20" t="str">
        <x:v>噪声</x:v>
      </x:c>
      <x:c r="D11" s="20" t="str">
        <x:v>烧水声音特别大正常吗？</x:v>
      </x:c>
      <x:c r="E11" s="20" t="str">
        <x:v>加热过程中产生一定声音通常与水质、水垢和沸腾有关；如伴随剧烈震动、焦味或漏水需停用检查。</x:v>
      </x:c>
      <x:c r="F11" s="20" t="str">
        <x:v>1. 判断声音类型 2. 检查水垢 3. 检查放置 4. 排除伴随风险</x:v>
      </x:c>
      <x:c r="G11" s="20" t="str">
        <x:v>区分正常现象与异常风险</x:v>
      </x:c>
      <x:c r="H11" s="20" t="str">
        <x:v>低</x:v>
      </x:c>
      <x:c r="I11" s="20" t="str">
        <x:v>剧烈震动、漏水、焦味</x:v>
      </x:c>
      <x:c r="J11" s="20" t="str">
        <x:v>通用故障排查</x:v>
      </x:c>
      <x:c r="K11" s="20" t="str">
        <x:v>V1.0</x:v>
      </x:c>
      <x:c r="L11" s="23" t="n">
        <x:v>46264</x:v>
      </x:c>
    </x:row>
    <x:row r="12">
      <x:c r="A12" s="20" t="str">
        <x:v>KB009</x:v>
      </x:c>
      <x:c r="B12" s="20" t="str">
        <x:v>电热水壶</x:v>
      </x:c>
      <x:c r="C12" s="20" t="str">
        <x:v>漏水</x:v>
      </x:c>
      <x:c r="D12" s="20" t="str">
        <x:v>底座附近有水怎么办？</x:v>
      </x:c>
      <x:c r="E12" s="20" t="str">
        <x:v>请先断电并擦干周边，确认是加水洒出、壶嘴回流还是壶体渗漏；疑似壶体渗漏时停止使用。</x:v>
      </x:c>
      <x:c r="F12" s="20" t="str">
        <x:v>1. 断电 2. 擦干 3. 判断水源 4. 疑似渗漏则停用</x:v>
      </x:c>
      <x:c r="G12" s="20" t="str">
        <x:v>先消除触电风险，再判断原因</x:v>
      </x:c>
      <x:c r="H12" s="20" t="str">
        <x:v>高</x:v>
      </x:c>
      <x:c r="I12" s="20" t="str">
        <x:v>底座进水或壶体持续渗漏</x:v>
      </x:c>
      <x:c r="J12" s="20" t="str">
        <x:v>安全边界建议</x:v>
      </x:c>
      <x:c r="K12" s="20" t="str">
        <x:v>V1.0</x:v>
      </x:c>
      <x:c r="L12" s="23" t="n">
        <x:v>46264</x:v>
      </x:c>
    </x:row>
    <x:row r="13">
      <x:c r="A13" s="20" t="str">
        <x:v>KB010</x:v>
      </x:c>
      <x:c r="B13" s="20" t="str">
        <x:v>空气炸锅</x:v>
      </x:c>
      <x:c r="C13" s="20" t="str">
        <x:v>首次使用</x:v>
      </x:c>
      <x:c r="D13" s="20" t="str">
        <x:v>第一次用要空烧吗？</x:v>
      </x:c>
      <x:c r="E13" s="20" t="str">
        <x:v>请以对应产品说明书为准。通常应先清洗可拆部件并去除包装材料，是否空烧不得脱离说明书自行承诺。</x:v>
      </x:c>
      <x:c r="F13" s="20" t="str">
        <x:v>1. 核对型号 2. 查对应说明书 3. 清洗可拆件 4. 按说明操作</x:v>
      </x:c>
      <x:c r="G13" s="20" t="str">
        <x:v>要求引用对应型号资料</x:v>
      </x:c>
      <x:c r="H13" s="20" t="str">
        <x:v>中</x:v>
      </x:c>
      <x:c r="I13" s="20" t="str">
        <x:v>无法确认型号或说明书要求</x:v>
      </x:c>
      <x:c r="J13" s="20" t="str">
        <x:v>准确性控制</x:v>
      </x:c>
      <x:c r="K13" s="20" t="str">
        <x:v>V1.0</x:v>
      </x:c>
      <x:c r="L13" s="23" t="n">
        <x:v>46264</x:v>
      </x:c>
    </x:row>
    <x:row r="14">
      <x:c r="A14" s="20" t="str">
        <x:v>KB011</x:v>
      </x:c>
      <x:c r="B14" s="20" t="str">
        <x:v>空气炸锅</x:v>
      </x:c>
      <x:c r="C14" s="20" t="str">
        <x:v>冒烟</x:v>
      </x:c>
      <x:c r="D14" s="20" t="str">
        <x:v>使用时冒烟怎么办？</x:v>
      </x:c>
      <x:c r="E14" s="20" t="str">
        <x:v>少量油烟可能与高油脂食材有关；若是浓烟、焦糊味或持续异常，请立即断电并在安全条件下停止使用。</x:v>
      </x:c>
      <x:c r="F14" s="20" t="str">
        <x:v>1. 判断烟量颜色 2. 询问食材 3. 检查残渣油脂 4. 浓烟立即停用</x:v>
      </x:c>
      <x:c r="G14" s="20" t="str">
        <x:v>按安全等级处理，不淡化风险</x:v>
      </x:c>
      <x:c r="H14" s="20" t="str">
        <x:v>高</x:v>
      </x:c>
      <x:c r="I14" s="20" t="str">
        <x:v>浓烟、火花、焦糊味或机身异常发热</x:v>
      </x:c>
      <x:c r="J14" s="20" t="str">
        <x:v>安全边界建议</x:v>
      </x:c>
      <x:c r="K14" s="20" t="str">
        <x:v>V1.0</x:v>
      </x:c>
      <x:c r="L14" s="23" t="n">
        <x:v>46264</x:v>
      </x:c>
    </x:row>
    <x:row r="15">
      <x:c r="A15" s="20" t="str">
        <x:v>KB012</x:v>
      </x:c>
      <x:c r="B15" s="20" t="str">
        <x:v>空气炸锅</x:v>
      </x:c>
      <x:c r="C15" s="20" t="str">
        <x:v>食物不熟</x:v>
      </x:c>
      <x:c r="D15" s="20" t="str">
        <x:v>按时间做完里面还是生的</x:v>
      </x:c>
      <x:c r="E15" s="20" t="str">
        <x:v>烹饪效果受食材大小、数量、初始温度和摆放影响，可减少份量、翻面并适当延长时间，肉类需确保熟透。</x:v>
      </x:c>
      <x:c r="F15" s="20" t="str">
        <x:v>1. 核对食材和份量 2. 是否预热 3. 是否翻面 4. 调整时间温度</x:v>
      </x:c>
      <x:c r="G15" s="20" t="str">
        <x:v>提供变量化排查，不承诺固定结果</x:v>
      </x:c>
      <x:c r="H15" s="20" t="str">
        <x:v>低</x:v>
      </x:c>
      <x:c r="I15" s="20" t="str">
        <x:v>涉及食用安全且用户无法判断熟度</x:v>
      </x:c>
      <x:c r="J15" s="20" t="str">
        <x:v>通用烹饪建议</x:v>
      </x:c>
      <x:c r="K15" s="20" t="str">
        <x:v>V1.0</x:v>
      </x:c>
      <x:c r="L15" s="23" t="n">
        <x:v>46264</x:v>
      </x:c>
    </x:row>
    <x:row r="16">
      <x:c r="A16" s="20" t="str">
        <x:v>KB013</x:v>
      </x:c>
      <x:c r="B16" s="20" t="str">
        <x:v>空气炸锅</x:v>
      </x:c>
      <x:c r="C16" s="20" t="str">
        <x:v>清洁</x:v>
      </x:c>
      <x:c r="D16" s="20" t="str">
        <x:v>加热管附近怎么清洁？</x:v>
      </x:c>
      <x:c r="E16" s="20" t="str">
        <x:v>必须断电并完全冷却后清洁，避免液体进入机身，不可使用可能损伤表面的尖锐工具。</x:v>
      </x:c>
      <x:c r="F16" s="20" t="str">
        <x:v>1. 断电冷却 2. 取出可拆件 3. 轻柔清洁 4. 充分干燥</x:v>
      </x:c>
      <x:c r="G16" s="20" t="str">
        <x:v>强调断电与防进水</x:v>
      </x:c>
      <x:c r="H16" s="20" t="str">
        <x:v>中</x:v>
      </x:c>
      <x:c r="I16" s="20" t="str">
        <x:v>油污接触电器部件或无法安全清洁</x:v>
      </x:c>
      <x:c r="J16" s="20" t="str">
        <x:v>通用维护建议</x:v>
      </x:c>
      <x:c r="K16" s="20" t="str">
        <x:v>V1.0</x:v>
      </x:c>
      <x:c r="L16" s="23" t="n">
        <x:v>46264</x:v>
      </x:c>
    </x:row>
    <x:row r="17">
      <x:c r="A17" s="20" t="str">
        <x:v>KB014</x:v>
      </x:c>
      <x:c r="B17" s="20" t="str">
        <x:v>通用</x:v>
      </x:c>
      <x:c r="C17" s="20" t="str">
        <x:v>退换货</x:v>
      </x:c>
      <x:c r="D17" s="20" t="str">
        <x:v>买了几天可以退吗？</x:v>
      </x:c>
      <x:c r="E17" s="20" t="str">
        <x:v>退换货条件需根据购买渠道、商品状态和有效售后政策核实，客服不可在未查询订单前直接承诺。</x:v>
      </x:c>
      <x:c r="F17" s="20" t="str">
        <x:v>1. 核对渠道 2. 核对订单时间 3. 核对商品状态 4. 查询有效政策</x:v>
      </x:c>
      <x:c r="G17" s="20" t="str">
        <x:v>查询订单与政策后答复</x:v>
      </x:c>
      <x:c r="H17" s="20" t="str">
        <x:v>中</x:v>
      </x:c>
      <x:c r="I17" s="20" t="str">
        <x:v>超出常规范围、已使用或存在争议</x:v>
      </x:c>
      <x:c r="J17" s="20" t="str">
        <x:v>模拟流程规则</x:v>
      </x:c>
      <x:c r="K17" s="20" t="str">
        <x:v>V1.0</x:v>
      </x:c>
      <x:c r="L17" s="23" t="n">
        <x:v>46264</x:v>
      </x:c>
    </x:row>
    <x:row r="18">
      <x:c r="A18" s="20" t="str">
        <x:v>KB015</x:v>
      </x:c>
      <x:c r="B18" s="20" t="str">
        <x:v>通用</x:v>
      </x:c>
      <x:c r="C18" s="20" t="str">
        <x:v>保修</x:v>
      </x:c>
      <x:c r="D18" s="20" t="str">
        <x:v>保修多久？</x:v>
      </x:c>
      <x:c r="E18" s="20" t="str">
        <x:v>保修范围和期限应以对应型号、购买凭证及当前有效政策为准，请先核对订单和产品信息。</x:v>
      </x:c>
      <x:c r="F18" s="20" t="str">
        <x:v>1. 核对型号 2. 核对购买时间 3. 查凭证 4. 查有效政策</x:v>
      </x:c>
      <x:c r="G18" s="20" t="str">
        <x:v>不得凭记忆承诺期限</x:v>
      </x:c>
      <x:c r="H18" s="20" t="str">
        <x:v>中</x:v>
      </x:c>
      <x:c r="I18" s="20" t="str">
        <x:v>无凭证、跨渠道或政策冲突</x:v>
      </x:c>
      <x:c r="J18" s="20" t="str">
        <x:v>模拟流程规则</x:v>
      </x:c>
      <x:c r="K18" s="20" t="str">
        <x:v>V1.0</x:v>
      </x:c>
      <x:c r="L18" s="23" t="n">
        <x:v>46264</x:v>
      </x:c>
    </x:row>
    <x:row r="19">
      <x:c r="A19" s="20" t="str">
        <x:v>KB016</x:v>
      </x:c>
      <x:c r="B19" s="20" t="str">
        <x:v>通用</x:v>
      </x:c>
      <x:c r="C19" s="20" t="str">
        <x:v>发票</x:v>
      </x:c>
      <x:c r="D19" s="20" t="str">
        <x:v>怎么开发票？</x:v>
      </x:c>
      <x:c r="E19" s="20" t="str">
        <x:v>请先核对购买渠道和订单信息，再按该渠道当前开票流程协助处理。</x:v>
      </x:c>
      <x:c r="F19" s="20" t="str">
        <x:v>1. 核对渠道 2. 核对订单 3. 收集抬头信息 4. 按流程提交</x:v>
      </x:c>
      <x:c r="G19" s="20" t="str">
        <x:v>保护用户信息并核对抬头</x:v>
      </x:c>
      <x:c r="H19" s="20" t="str">
        <x:v>低</x:v>
      </x:c>
      <x:c r="I19" s="20" t="str">
        <x:v>订单主体与开票主体不一致</x:v>
      </x:c>
      <x:c r="J19" s="20" t="str">
        <x:v>模拟流程规则</x:v>
      </x:c>
      <x:c r="K19" s="20" t="str">
        <x:v>V1.0</x:v>
      </x:c>
      <x:c r="L19" s="23" t="n">
        <x:v>46264</x:v>
      </x:c>
    </x:row>
    <x:row r="20">
      <x:c r="A20" s="20" t="str">
        <x:v>KB017</x:v>
      </x:c>
      <x:c r="B20" s="20" t="str">
        <x:v>通用</x:v>
      </x:c>
      <x:c r="C20" s="20" t="str">
        <x:v>配件</x:v>
      </x:c>
      <x:c r="D20" s="20" t="str">
        <x:v>配件丢了能单买吗？</x:v>
      </x:c>
      <x:c r="E20" s="20" t="str">
        <x:v>请确认产品型号和缺失配件名称，再查询当前配件库存及适配关系，避免推荐不兼容配件。</x:v>
      </x:c>
      <x:c r="F20" s="20" t="str">
        <x:v>1. 核对型号 2. 确认配件 3. 查适配表 4. 查库存</x:v>
      </x:c>
      <x:c r="G20" s="20" t="str">
        <x:v>先确认适配再提供购买路径</x:v>
      </x:c>
      <x:c r="H20" s="20" t="str">
        <x:v>低</x:v>
      </x:c>
      <x:c r="I20" s="20" t="str">
        <x:v>型号不清或配件涉及安全功能</x:v>
      </x:c>
      <x:c r="J20" s="20" t="str">
        <x:v>模拟流程规则</x:v>
      </x:c>
      <x:c r="K20" s="20" t="str">
        <x:v>V1.0</x:v>
      </x:c>
      <x:c r="L20" s="23" t="n">
        <x:v>46264</x:v>
      </x:c>
    </x:row>
    <x:row r="21">
      <x:c r="A21" s="20" t="str">
        <x:v>KB018</x:v>
      </x:c>
      <x:c r="B21" s="20" t="str">
        <x:v>通用</x:v>
      </x:c>
      <x:c r="C21" s="20" t="str">
        <x:v>物流破损</x:v>
      </x:c>
      <x:c r="D21" s="20" t="str">
        <x:v>收到货外箱和机器都破了</x:v>
      </x:c>
      <x:c r="E21" s="20" t="str">
        <x:v>很抱歉影响您的收货体验。请先停止使用并保留包装、商品及物流面单照片，我们将根据订单渠道协助登记处理。</x:v>
      </x:c>
      <x:c r="F21" s="20" t="str">
        <x:v>1. 安抚 2. 提醒停用 3. 收集照片 4. 核对订单 5. 发起流程</x:v>
      </x:c>
      <x:c r="G21" s="20" t="str">
        <x:v>避免让用户继续通电测试</x:v>
      </x:c>
      <x:c r="H21" s="20" t="str">
        <x:v>高</x:v>
      </x:c>
      <x:c r="I21" s="20" t="str">
        <x:v>明显破损、玻璃裂纹或电气部件暴露</x:v>
      </x:c>
      <x:c r="J21" s="20" t="str">
        <x:v>模拟流程规则</x:v>
      </x:c>
      <x:c r="K21" s="20" t="str">
        <x:v>V1.0</x:v>
      </x:c>
      <x:c r="L21" s="23" t="n">
        <x:v>46264</x:v>
      </x:c>
    </x:row>
    <x:row r="22">
      <x:c r="A22" s="20" t="str">
        <x:v>KB019</x:v>
      </x:c>
      <x:c r="B22" s="20" t="str">
        <x:v>通用</x:v>
      </x:c>
      <x:c r="C22" s="20" t="str">
        <x:v>投诉升级</x:v>
      </x:c>
      <x:c r="D22" s="20" t="str">
        <x:v>我要投诉你们</x:v>
      </x:c>
      <x:c r="E22" s="20" t="str">
        <x:v>理解您现在的不满，我会先完整记录问题和您的诉求，并尽快按流程为您升级处理。</x:v>
      </x:c>
      <x:c r="F22" s="20" t="str">
        <x:v>1. 不打断 2. 复述问题 3. 确认诉求 4. 记录证据 5. 升级</x:v>
      </x:c>
      <x:c r="G22" s="20" t="str">
        <x:v>不争辩、不随意承诺赔偿</x:v>
      </x:c>
      <x:c r="H22" s="20" t="str">
        <x:v>高</x:v>
      </x:c>
      <x:c r="I22" s="20" t="str">
        <x:v>人身安全、媒体曝光、监管投诉或重大财损</x:v>
      </x:c>
      <x:c r="J22" s="20" t="str">
        <x:v>服务处理规范</x:v>
      </x:c>
      <x:c r="K22" s="20" t="str">
        <x:v>V1.0</x:v>
      </x:c>
      <x:c r="L22" s="23" t="n">
        <x:v>46264</x:v>
      </x:c>
    </x:row>
    <x:row r="23">
      <x:c r="A23" s="21" t="str">
        <x:v>KB020</x:v>
      </x:c>
      <x:c r="B23" s="21" t="str">
        <x:v>通用</x:v>
      </x:c>
      <x:c r="C23" s="21" t="str">
        <x:v>隐私保护</x:v>
      </x:c>
      <x:c r="D23" s="21" t="str">
        <x:v>客服能让我发身份证吗？</x:v>
      </x:c>
      <x:c r="E23" s="21" t="str">
        <x:v>仅在明确业务依据和授权流程下收集必要信息，不应通过非授权渠道索取或传播敏感个人信息。</x:v>
      </x:c>
      <x:c r="F23" s="21" t="str">
        <x:v>1. 确认业务必要性 2. 使用授权渠道 3. 最小化收集 4. 避免留存扩散</x:v>
      </x:c>
      <x:c r="G23" s="21" t="str">
        <x:v>不索取非必要敏感信息</x:v>
      </x:c>
      <x:c r="H23" s="21" t="str">
        <x:v>高</x:v>
      </x:c>
      <x:c r="I23" s="21" t="str">
        <x:v>涉及身份证、银行卡、验证码等敏感信息</x:v>
      </x:c>
      <x:c r="J23" s="21" t="str">
        <x:v>服务处理规范</x:v>
      </x:c>
      <x:c r="K23" s="21" t="str">
        <x:v>V1.0</x:v>
      </x:c>
      <x:c r="L23" s="24" t="n">
        <x:v>46264</x:v>
      </x:c>
    </x:row>
  </x:sheetData>
  <x:mergeCells>
    <x:mergeCell ref="A1:L1"/>
    <x:mergeCell ref="A2:H2"/>
  </x:mergeCells>
  <x:dataValidations count="1">
    <x:dataValidation type="list" sqref="H4:H100">
      <x:formula1>"低,中,高"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316952931b4f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48" hidden="0" customWidth="1"/>
    <x:col min="5" max="5" width="25" hidden="0" customWidth="1"/>
    <x:col min="6" max="6" width="30" hidden="0" customWidth="1"/>
    <x:col min="7" max="7" width="10" hidden="0" customWidth="1"/>
    <x:col min="8" max="8" width="16" hidden="0" customWidth="1"/>
  </x:cols>
  <x:sheetData>
    <x:row r="1" ht="34" customHeight="1">
      <x:c r="A1" s="3" t="str">
        <x:v>客服标准话术库</x:v>
      </x:c>
    </x:row>
    <x:row r="2" ht="28" customHeight="1">
      <x:c r="A2" s="6" t="str">
        <x:v>话术用于辅助表达，最终处理必须服从知识库、订单事实和有效政策</x:v>
      </x:c>
    </x:row>
    <x:row r="3" ht="28" customHeight="1">
      <x:c r="A3" s="11" t="str">
        <x:v>话术ID</x:v>
      </x:c>
      <x:c r="B3" s="11" t="str">
        <x:v>环节</x:v>
      </x:c>
      <x:c r="C3" s="11" t="str">
        <x:v>适用场景</x:v>
      </x:c>
      <x:c r="D3" s="11" t="str">
        <x:v>推荐话术</x:v>
      </x:c>
      <x:c r="E3" s="11" t="str">
        <x:v>表达目标</x:v>
      </x:c>
      <x:c r="F3" s="11" t="str">
        <x:v>禁用表达</x:v>
      </x:c>
      <x:c r="G3" s="11" t="str">
        <x:v>风险等级</x:v>
      </x:c>
      <x:c r="H3" s="11" t="str">
        <x:v>关联模块</x:v>
      </x:c>
    </x:row>
    <x:row r="4">
      <x:c r="A4" s="19" t="str">
        <x:v>SC001</x:v>
      </x:c>
      <x:c r="B4" s="19" t="str">
        <x:v>开场</x:v>
      </x:c>
      <x:c r="C4" s="19" t="str">
        <x:v>通用咨询</x:v>
      </x:c>
      <x:c r="D4" s="19" t="str">
        <x:v>您好，很高兴为您服务。请问您使用的是哪类产品、具体型号是什么？我先帮您准确核对。</x:v>
      </x:c>
      <x:c r="E4" s="19" t="str">
        <x:v>明确产品和型号</x:v>
      </x:c>
      <x:c r="F4" s="19" t="str">
        <x:v>直接猜测型号</x:v>
      </x:c>
      <x:c r="G4" s="19" t="str">
        <x:v>低</x:v>
      </x:c>
      <x:c r="H4" s="19" t="str">
        <x:v>信息确认</x:v>
      </x:c>
    </x:row>
    <x:row r="5">
      <x:c r="A5" s="20" t="str">
        <x:v>SC002</x:v>
      </x:c>
      <x:c r="B5" s="20" t="str">
        <x:v>澄清</x:v>
      </x:c>
      <x:c r="C5" s="20" t="str">
        <x:v>故障描述不清</x:v>
      </x:c>
      <x:c r="D5" s="20" t="str">
        <x:v>为了避免判断偏差，我想再确认一下：异常是在通电后立即出现，还是运行一段时间后出现？</x:v>
      </x:c>
      <x:c r="E5" s="20" t="str">
        <x:v>缩小问题范围</x:v>
      </x:c>
      <x:c r="F5" s="20" t="str">
        <x:v>连续抛出过多问题</x:v>
      </x:c>
      <x:c r="G5" s="20" t="str">
        <x:v>低</x:v>
      </x:c>
      <x:c r="H5" s="20" t="str">
        <x:v>问题诊断</x:v>
      </x:c>
    </x:row>
    <x:row r="6">
      <x:c r="A6" s="20" t="str">
        <x:v>SC003</x:v>
      </x:c>
      <x:c r="B6" s="20" t="str">
        <x:v>安全提醒</x:v>
      </x:c>
      <x:c r="C6" s="20" t="str">
        <x:v>冒烟/焦味</x:v>
      </x:c>
      <x:c r="D6" s="20" t="str">
        <x:v>为了安全，请您先断开电源并停止使用，不建议再次通电测试。我会马上为您登记并升级处理。</x:v>
      </x:c>
      <x:c r="E6" s="20" t="str">
        <x:v>先停用再处理</x:v>
      </x:c>
      <x:c r="F6" s="20" t="str">
        <x:v>这应该没事，可以再试试</x:v>
      </x:c>
      <x:c r="G6" s="20" t="str">
        <x:v>高</x:v>
      </x:c>
      <x:c r="H6" s="20" t="str">
        <x:v>安全故障</x:v>
      </x:c>
    </x:row>
    <x:row r="7">
      <x:c r="A7" s="20" t="str">
        <x:v>SC004</x:v>
      </x:c>
      <x:c r="B7" s="20" t="str">
        <x:v>情绪安抚</x:v>
      </x:c>
      <x:c r="C7" s="20" t="str">
        <x:v>用户不满</x:v>
      </x:c>
      <x:c r="D7" s="20" t="str">
        <x:v>确实给您带来了不便，我理解您的着急。我先把问题和您的诉求完整记录下来，再给您明确下一步。</x:v>
      </x:c>
      <x:c r="E7" s="20" t="str">
        <x:v>共情并推进处理</x:v>
      </x:c>
      <x:c r="F7" s="20" t="str">
        <x:v>您先冷静一下</x:v>
      </x:c>
      <x:c r="G7" s="20" t="str">
        <x:v>中</x:v>
      </x:c>
      <x:c r="H7" s="20" t="str">
        <x:v>投诉处理</x:v>
      </x:c>
    </x:row>
    <x:row r="8">
      <x:c r="A8" s="20" t="str">
        <x:v>SC005</x:v>
      </x:c>
      <x:c r="B8" s="20" t="str">
        <x:v>政策核对</x:v>
      </x:c>
      <x:c r="C8" s="20" t="str">
        <x:v>退换货</x:v>
      </x:c>
      <x:c r="D8" s="20" t="str">
        <x:v>我先为您核对购买渠道、订单时间和商品状态，再依据当前有效政策给您准确答复。</x:v>
      </x:c>
      <x:c r="E8" s="20" t="str">
        <x:v>不提前承诺</x:v>
      </x:c>
      <x:c r="F8" s="20" t="str">
        <x:v>肯定可以退</x:v>
      </x:c>
      <x:c r="G8" s="20" t="str">
        <x:v>中</x:v>
      </x:c>
      <x:c r="H8" s="20" t="str">
        <x:v>政策咨询</x:v>
      </x:c>
    </x:row>
    <x:row r="9">
      <x:c r="A9" s="20" t="str">
        <x:v>SC006</x:v>
      </x:c>
      <x:c r="B9" s="20" t="str">
        <x:v>无法确认</x:v>
      </x:c>
      <x:c r="C9" s="20" t="str">
        <x:v>知识库无答案</x:v>
      </x:c>
      <x:c r="D9" s="20" t="str">
        <x:v>这个情况我暂时没有足够依据直接判断。为了不给您错误信息，我会记录细节并向产品/售后同事核实。</x:v>
      </x:c>
      <x:c r="E9" s="20" t="str">
        <x:v>坦诚说明并升级</x:v>
      </x:c>
      <x:c r="F9" s="20" t="str">
        <x:v>凭经验编一个答案</x:v>
      </x:c>
      <x:c r="G9" s="20" t="str">
        <x:v>中</x:v>
      </x:c>
      <x:c r="H9" s="20" t="str">
        <x:v>知识缺口</x:v>
      </x:c>
    </x:row>
    <x:row r="10">
      <x:c r="A10" s="20" t="str">
        <x:v>SC007</x:v>
      </x:c>
      <x:c r="B10" s="20" t="str">
        <x:v>处理总结</x:v>
      </x:c>
      <x:c r="C10" s="20" t="str">
        <x:v>基础排查完成</x:v>
      </x:c>
      <x:c r="D10" s="20" t="str">
        <x:v>我们刚才已经确认了电源、放置和模式设置，目前问题仍存在。下一步我会为您转售后检测，请您暂时停止使用。</x:v>
      </x:c>
      <x:c r="E10" s="20" t="str">
        <x:v>总结事实与下一步</x:v>
      </x:c>
      <x:c r="F10" s="20" t="str">
        <x:v>让用户重复全部信息</x:v>
      </x:c>
      <x:c r="G10" s="20" t="str">
        <x:v>中</x:v>
      </x:c>
      <x:c r="H10" s="20" t="str">
        <x:v>故障升级</x:v>
      </x:c>
    </x:row>
    <x:row r="11">
      <x:c r="A11" s="20" t="str">
        <x:v>SC008</x:v>
      </x:c>
      <x:c r="B11" s="20" t="str">
        <x:v>结束语</x:v>
      </x:c>
      <x:c r="C11" s="20" t="str">
        <x:v>问题已解决</x:v>
      </x:c>
      <x:c r="D11" s="20" t="str">
        <x:v>很高兴问题已经解决。我再提醒您后续按说明书要求使用和清洁；如果再次出现异常，可以随时联系我们。</x:v>
      </x:c>
      <x:c r="E11" s="20" t="str">
        <x:v>确认解决并补充提醒</x:v>
      </x:c>
      <x:c r="F11" s="20" t="str">
        <x:v>还有别的吗？没有就结束了</x:v>
      </x:c>
      <x:c r="G11" s="20" t="str">
        <x:v>低</x:v>
      </x:c>
      <x:c r="H11" s="20" t="str">
        <x:v>服务闭环</x:v>
      </x:c>
    </x:row>
    <x:row r="12">
      <x:c r="A12" s="20" t="str">
        <x:v>SC009</x:v>
      </x:c>
      <x:c r="B12" s="20" t="str">
        <x:v>隐私保护</x:v>
      </x:c>
      <x:c r="C12" s="20" t="str">
        <x:v>索取敏感信息</x:v>
      </x:c>
      <x:c r="D12" s="20" t="str">
        <x:v>为保护您的信息安全，请不要发送银行卡密码或验证码。需要的订单信息请通过官方授权渠道提交。</x:v>
      </x:c>
      <x:c r="E12" s="20" t="str">
        <x:v>最小化收集</x:v>
      </x:c>
      <x:c r="F12" s="20" t="str">
        <x:v>把验证码发我</x:v>
      </x:c>
      <x:c r="G12" s="20" t="str">
        <x:v>高</x:v>
      </x:c>
      <x:c r="H12" s="20" t="str">
        <x:v>隐私安全</x:v>
      </x:c>
    </x:row>
    <x:row r="13">
      <x:c r="A13" s="21" t="str">
        <x:v>SC010</x:v>
      </x:c>
      <x:c r="B13" s="21" t="str">
        <x:v>配件咨询</x:v>
      </x:c>
      <x:c r="C13" s="21" t="str">
        <x:v>适配关系不明</x:v>
      </x:c>
      <x:c r="D13" s="21" t="str">
        <x:v>为了避免买错，请您提供机身铭牌上的型号和配件名称，我核对适配关系后再给您购买建议。</x:v>
      </x:c>
      <x:c r="E13" s="21" t="str">
        <x:v>先核对适配</x:v>
      </x:c>
      <x:c r="F13" s="21" t="str">
        <x:v>看起来差不多，都能用</x:v>
      </x:c>
      <x:c r="G13" s="21" t="str">
        <x:v>低</x:v>
      </x:c>
      <x:c r="H13" s="21" t="str">
        <x:v>配件适配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b81da1298754c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8" hidden="0" customWidth="1"/>
    <x:col min="10" max="10" width="8" hidden="0" customWidth="1"/>
    <x:col min="11" max="11" width="10" hidden="0" customWidth="1"/>
  </x:cols>
  <x:sheetData>
    <x:row r="1" ht="34" customHeight="1">
      <x:c r="A1" s="3" t="str">
        <x:v>客服月考题库</x:v>
      </x:c>
    </x:row>
    <x:row r="2" ht="28" customHeight="1">
      <x:c r="A2" s="6" t="str">
        <x:v>满分100分｜产品知识30分、故障排查30分、售后流程20分、服务规范20分</x:v>
      </x:c>
    </x:row>
    <x:row r="3" ht="28" customHeight="1">
      <x:c r="A3" s="11" t="str">
        <x:v>题号</x:v>
      </x:c>
      <x:c r="B3" s="11" t="str">
        <x:v>模块</x:v>
      </x:c>
      <x:c r="C3" s="11" t="str">
        <x:v>题型</x:v>
      </x:c>
      <x:c r="D3" s="11" t="str">
        <x:v>题目</x:v>
      </x:c>
      <x:c r="E3" s="11" t="str">
        <x:v>选项A</x:v>
      </x:c>
      <x:c r="F3" s="11" t="str">
        <x:v>选项B</x:v>
      </x:c>
      <x:c r="G3" s="11" t="str">
        <x:v>选项C</x:v>
      </x:c>
      <x:c r="H3" s="11" t="str">
        <x:v>选项D</x:v>
      </x:c>
      <x:c r="I3" s="11" t="str">
        <x:v>答案</x:v>
      </x:c>
      <x:c r="J3" s="11" t="str">
        <x:v>分值</x:v>
      </x:c>
      <x:c r="K3" s="11" t="str">
        <x:v>难度</x:v>
      </x:c>
    </x:row>
    <x:row r="4">
      <x:c r="A4" s="19" t="str">
        <x:v>Q001</x:v>
      </x:c>
      <x:c r="B4" s="19" t="str">
        <x:v>产品知识</x:v>
      </x:c>
      <x:c r="C4" s="19" t="str">
        <x:v>单选</x:v>
      </x:c>
      <x:c r="D4" s="19" t="str">
        <x:v>养生壶首次使用最合适的处理是？</x:v>
      </x:c>
      <x:c r="E4" s="19" t="str">
        <x:v>直接煮食材</x:v>
      </x:c>
      <x:c r="F4" s="19" t="str">
        <x:v>清洗并按说明完成试烧</x:v>
      </x:c>
      <x:c r="G4" s="19" t="str">
        <x:v>空壶长时间加热</x:v>
      </x:c>
      <x:c r="H4" s="19" t="str">
        <x:v>拆开底座检查</x:v>
      </x:c>
      <x:c r="I4" s="19" t="str">
        <x:v>B</x:v>
      </x:c>
      <x:c r="J4" s="19" t="n">
        <x:v>3</x:v>
      </x:c>
      <x:c r="K4" s="19" t="str">
        <x:v>基础</x:v>
      </x:c>
    </x:row>
    <x:row r="5">
      <x:c r="A5" s="20" t="str">
        <x:v>Q002</x:v>
      </x:c>
      <x:c r="B5" s="20" t="str">
        <x:v>安全故障</x:v>
      </x:c>
      <x:c r="C5" s="20" t="str">
        <x:v>单选</x:v>
      </x:c>
      <x:c r="D5" s="20" t="str">
        <x:v>电热水壶自动断电失效时应？</x:v>
      </x:c>
      <x:c r="E5" s="20" t="str">
        <x:v>继续观察</x:v>
      </x:c>
      <x:c r="F5" s="20" t="str">
        <x:v>反复测试</x:v>
      </x:c>
      <x:c r="G5" s="20" t="str">
        <x:v>手动断电并停用升级</x:v>
      </x:c>
      <x:c r="H5" s="20" t="str">
        <x:v>自行拆机</x:v>
      </x:c>
      <x:c r="I5" s="20" t="str">
        <x:v>C</x:v>
      </x:c>
      <x:c r="J5" s="20" t="n">
        <x:v>4</x:v>
      </x:c>
      <x:c r="K5" s="20" t="str">
        <x:v>核心</x:v>
      </x:c>
    </x:row>
    <x:row r="6">
      <x:c r="A6" s="20" t="str">
        <x:v>Q003</x:v>
      </x:c>
      <x:c r="B6" s="20" t="str">
        <x:v>故障排查</x:v>
      </x:c>
      <x:c r="C6" s="20" t="str">
        <x:v>判断</x:v>
      </x:c>
      <x:c r="D6" s="20" t="str">
        <x:v>用户称底座附近有水，应先指导断电并确认水的来源。</x:v>
      </x:c>
      <x:c r="E6" s="20" t="str">
        <x:v>正确</x:v>
      </x:c>
      <x:c r="F6" s="20" t="str">
        <x:v>错误</x:v>
      </x:c>
      <x:c r="G6" s="20" t="str"/>
      <x:c r="H6" s="20" t="str"/>
      <x:c r="I6" s="20" t="str">
        <x:v>A</x:v>
      </x:c>
      <x:c r="J6" s="20" t="n">
        <x:v>3</x:v>
      </x:c>
      <x:c r="K6" s="20" t="str">
        <x:v>核心</x:v>
      </x:c>
    </x:row>
    <x:row r="7">
      <x:c r="A7" s="20" t="str">
        <x:v>Q004</x:v>
      </x:c>
      <x:c r="B7" s="20" t="str">
        <x:v>服务规范</x:v>
      </x:c>
      <x:c r="C7" s="20" t="str">
        <x:v>单选</x:v>
      </x:c>
      <x:c r="D7" s="20" t="str">
        <x:v>知识库没有答案时，最佳做法是？</x:v>
      </x:c>
      <x:c r="E7" s="20" t="str">
        <x:v>凭经验回答</x:v>
      </x:c>
      <x:c r="F7" s="20" t="str">
        <x:v>说明暂无法确认并升级核实</x:v>
      </x:c>
      <x:c r="G7" s="20" t="str">
        <x:v>转移话题</x:v>
      </x:c>
      <x:c r="H7" s="20" t="str">
        <x:v>直接结束</x:v>
      </x:c>
      <x:c r="I7" s="20" t="str">
        <x:v>B</x:v>
      </x:c>
      <x:c r="J7" s="20" t="n">
        <x:v>3</x:v>
      </x:c>
      <x:c r="K7" s="20" t="str">
        <x:v>核心</x:v>
      </x:c>
    </x:row>
    <x:row r="8">
      <x:c r="A8" s="20" t="str">
        <x:v>Q005</x:v>
      </x:c>
      <x:c r="B8" s="20" t="str">
        <x:v>售后流程</x:v>
      </x:c>
      <x:c r="C8" s="20" t="str">
        <x:v>单选</x:v>
      </x:c>
      <x:c r="D8" s="20" t="str">
        <x:v>回答退换货问题前最不需要确认的是？</x:v>
      </x:c>
      <x:c r="E8" s="20" t="str">
        <x:v>购买渠道</x:v>
      </x:c>
      <x:c r="F8" s="20" t="str">
        <x:v>订单时间</x:v>
      </x:c>
      <x:c r="G8" s="20" t="str">
        <x:v>商品状态</x:v>
      </x:c>
      <x:c r="H8" s="20" t="str">
        <x:v>用户星座</x:v>
      </x:c>
      <x:c r="I8" s="20" t="str">
        <x:v>D</x:v>
      </x:c>
      <x:c r="J8" s="20" t="n">
        <x:v>3</x:v>
      </x:c>
      <x:c r="K8" s="20" t="str">
        <x:v>基础</x:v>
      </x:c>
    </x:row>
    <x:row r="9">
      <x:c r="A9" s="20" t="str">
        <x:v>Q006</x:v>
      </x:c>
      <x:c r="B9" s="20" t="str">
        <x:v>安全故障</x:v>
      </x:c>
      <x:c r="C9" s="20" t="str">
        <x:v>判断</x:v>
      </x:c>
      <x:c r="D9" s="20" t="str">
        <x:v>空气炸锅出现浓烟时，可以建议用户再次通电以录制视频。</x:v>
      </x:c>
      <x:c r="E9" s="20" t="str">
        <x:v>正确</x:v>
      </x:c>
      <x:c r="F9" s="20" t="str">
        <x:v>错误</x:v>
      </x:c>
      <x:c r="G9" s="20" t="str"/>
      <x:c r="H9" s="20" t="str"/>
      <x:c r="I9" s="20" t="str">
        <x:v>B</x:v>
      </x:c>
      <x:c r="J9" s="20" t="n">
        <x:v>4</x:v>
      </x:c>
      <x:c r="K9" s="20" t="str">
        <x:v>核心</x:v>
      </x:c>
    </x:row>
    <x:row r="10">
      <x:c r="A10" s="20" t="str">
        <x:v>Q007</x:v>
      </x:c>
      <x:c r="B10" s="20" t="str">
        <x:v>产品知识</x:v>
      </x:c>
      <x:c r="C10" s="20" t="str">
        <x:v>单选</x:v>
      </x:c>
      <x:c r="D10" s="20" t="str">
        <x:v>养生壶白色斑点首先可能是什么？</x:v>
      </x:c>
      <x:c r="E10" s="20" t="str">
        <x:v>一定是质量问题</x:v>
      </x:c>
      <x:c r="F10" s="20" t="str">
        <x:v>水垢</x:v>
      </x:c>
      <x:c r="G10" s="20" t="str">
        <x:v>电路故障</x:v>
      </x:c>
      <x:c r="H10" s="20" t="str">
        <x:v>包装残留</x:v>
      </x:c>
      <x:c r="I10" s="20" t="str">
        <x:v>B</x:v>
      </x:c>
      <x:c r="J10" s="20" t="n">
        <x:v>3</x:v>
      </x:c>
      <x:c r="K10" s="20" t="str">
        <x:v>基础</x:v>
      </x:c>
    </x:row>
    <x:row r="11">
      <x:c r="A11" s="20" t="str">
        <x:v>Q008</x:v>
      </x:c>
      <x:c r="B11" s="20" t="str">
        <x:v>服务规范</x:v>
      </x:c>
      <x:c r="C11" s="20" t="str">
        <x:v>单选</x:v>
      </x:c>
      <x:c r="D11" s="20" t="str">
        <x:v>用户投诉时不恰当的表达是？</x:v>
      </x:c>
      <x:c r="E11" s="20" t="str">
        <x:v>我理解您的着急</x:v>
      </x:c>
      <x:c r="F11" s="20" t="str">
        <x:v>我先记录您的诉求</x:v>
      </x:c>
      <x:c r="G11" s="20" t="str">
        <x:v>您先冷静一下</x:v>
      </x:c>
      <x:c r="H11" s="20" t="str">
        <x:v>我会说明下一步</x:v>
      </x:c>
      <x:c r="I11" s="20" t="str">
        <x:v>C</x:v>
      </x:c>
      <x:c r="J11" s="20" t="n">
        <x:v>3</x:v>
      </x:c>
      <x:c r="K11" s="20" t="str">
        <x:v>核心</x:v>
      </x:c>
    </x:row>
    <x:row r="12">
      <x:c r="A12" s="20" t="str">
        <x:v>Q009</x:v>
      </x:c>
      <x:c r="B12" s="20" t="str">
        <x:v>隐私安全</x:v>
      </x:c>
      <x:c r="C12" s="20" t="str">
        <x:v>判断</x:v>
      </x:c>
      <x:c r="D12" s="20" t="str">
        <x:v>客服可通过个人聊天账号收集用户银行卡密码以便退款。</x:v>
      </x:c>
      <x:c r="E12" s="20" t="str">
        <x:v>正确</x:v>
      </x:c>
      <x:c r="F12" s="20" t="str">
        <x:v>错误</x:v>
      </x:c>
      <x:c r="G12" s="20" t="str"/>
      <x:c r="H12" s="20" t="str"/>
      <x:c r="I12" s="20" t="str">
        <x:v>B</x:v>
      </x:c>
      <x:c r="J12" s="20" t="n">
        <x:v>4</x:v>
      </x:c>
      <x:c r="K12" s="20" t="str">
        <x:v>核心</x:v>
      </x:c>
    </x:row>
    <x:row r="13">
      <x:c r="A13" s="20" t="str">
        <x:v>Q010</x:v>
      </x:c>
      <x:c r="B13" s="20" t="str">
        <x:v>故障排查</x:v>
      </x:c>
      <x:c r="C13" s="20" t="str">
        <x:v>单选</x:v>
      </x:c>
      <x:c r="D13" s="20" t="str">
        <x:v>不加热排查中应优先确认？</x:v>
      </x:c>
      <x:c r="E13" s="20" t="str">
        <x:v>插座与电源连接</x:v>
      </x:c>
      <x:c r="F13" s="20" t="str">
        <x:v>用户职业</x:v>
      </x:c>
      <x:c r="G13" s="20" t="str">
        <x:v>购买颜色</x:v>
      </x:c>
      <x:c r="H13" s="20" t="str">
        <x:v>包装尺寸</x:v>
      </x:c>
      <x:c r="I13" s="20" t="str">
        <x:v>A</x:v>
      </x:c>
      <x:c r="J13" s="20" t="n">
        <x:v>3</x:v>
      </x:c>
      <x:c r="K13" s="20" t="str">
        <x:v>基础</x:v>
      </x:c>
    </x:row>
    <x:row r="14">
      <x:c r="A14" s="20" t="str">
        <x:v>Q011</x:v>
      </x:c>
      <x:c r="B14" s="20" t="str">
        <x:v>产品知识</x:v>
      </x:c>
      <x:c r="C14" s="20" t="str">
        <x:v>单选</x:v>
      </x:c>
      <x:c r="D14" s="20" t="str">
        <x:v>空气炸锅食物不熟可能与什么无关？</x:v>
      </x:c>
      <x:c r="E14" s="20" t="str">
        <x:v>食材大小</x:v>
      </x:c>
      <x:c r="F14" s="20" t="str">
        <x:v>摆放数量</x:v>
      </x:c>
      <x:c r="G14" s="20" t="str">
        <x:v>初始温度</x:v>
      </x:c>
      <x:c r="H14" s="20" t="str">
        <x:v>客服工号</x:v>
      </x:c>
      <x:c r="I14" s="20" t="str">
        <x:v>D</x:v>
      </x:c>
      <x:c r="J14" s="20" t="n">
        <x:v>3</x:v>
      </x:c>
      <x:c r="K14" s="20" t="str">
        <x:v>基础</x:v>
      </x:c>
    </x:row>
    <x:row r="15">
      <x:c r="A15" s="20" t="str">
        <x:v>Q012</x:v>
      </x:c>
      <x:c r="B15" s="20" t="str">
        <x:v>售后流程</x:v>
      </x:c>
      <x:c r="C15" s="20" t="str">
        <x:v>判断</x:v>
      </x:c>
      <x:c r="D15" s="20" t="str">
        <x:v>保修期限可以仅凭客服记忆直接承诺。</x:v>
      </x:c>
      <x:c r="E15" s="20" t="str">
        <x:v>正确</x:v>
      </x:c>
      <x:c r="F15" s="20" t="str">
        <x:v>错误</x:v>
      </x:c>
      <x:c r="G15" s="20" t="str"/>
      <x:c r="H15" s="20" t="str"/>
      <x:c r="I15" s="20" t="str">
        <x:v>B</x:v>
      </x:c>
      <x:c r="J15" s="20" t="n">
        <x:v>3</x:v>
      </x:c>
      <x:c r="K15" s="20" t="str">
        <x:v>核心</x:v>
      </x:c>
    </x:row>
    <x:row r="16">
      <x:c r="A16" s="20" t="str">
        <x:v>Q013</x:v>
      </x:c>
      <x:c r="B16" s="20" t="str">
        <x:v>故障排查</x:v>
      </x:c>
      <x:c r="C16" s="20" t="str">
        <x:v>单选</x:v>
      </x:c>
      <x:c r="D16" s="20" t="str">
        <x:v>异味伴随冒烟时应？</x:v>
      </x:c>
      <x:c r="E16" s="20" t="str">
        <x:v>继续试烧</x:v>
      </x:c>
      <x:c r="F16" s="20" t="str">
        <x:v>加香料掩盖</x:v>
      </x:c>
      <x:c r="G16" s="20" t="str">
        <x:v>立即停用并升级</x:v>
      </x:c>
      <x:c r="H16" s="20" t="str">
        <x:v>开窗后继续用</x:v>
      </x:c>
      <x:c r="I16" s="20" t="str">
        <x:v>C</x:v>
      </x:c>
      <x:c r="J16" s="20" t="n">
        <x:v>4</x:v>
      </x:c>
      <x:c r="K16" s="20" t="str">
        <x:v>核心</x:v>
      </x:c>
    </x:row>
    <x:row r="17">
      <x:c r="A17" s="20" t="str">
        <x:v>Q014</x:v>
      </x:c>
      <x:c r="B17" s="20" t="str">
        <x:v>服务规范</x:v>
      </x:c>
      <x:c r="C17" s="20" t="str">
        <x:v>单选</x:v>
      </x:c>
      <x:c r="D17" s="20" t="str">
        <x:v>客服复述用户问题的主要作用是？</x:v>
      </x:c>
      <x:c r="E17" s="20" t="str">
        <x:v>拖延时间</x:v>
      </x:c>
      <x:c r="F17" s="20" t="str">
        <x:v>确认理解一致</x:v>
      </x:c>
      <x:c r="G17" s="20" t="str">
        <x:v>展示专业术语</x:v>
      </x:c>
      <x:c r="H17" s="20" t="str">
        <x:v>减少记录</x:v>
      </x:c>
      <x:c r="I17" s="20" t="str">
        <x:v>B</x:v>
      </x:c>
      <x:c r="J17" s="20" t="n">
        <x:v>3</x:v>
      </x:c>
      <x:c r="K17" s="20" t="str">
        <x:v>基础</x:v>
      </x:c>
    </x:row>
    <x:row r="18">
      <x:c r="A18" s="20" t="str">
        <x:v>Q015</x:v>
      </x:c>
      <x:c r="B18" s="20" t="str">
        <x:v>售后流程</x:v>
      </x:c>
      <x:c r="C18" s="20" t="str">
        <x:v>单选</x:v>
      </x:c>
      <x:c r="D18" s="20" t="str">
        <x:v>物流破损后最不合适的是？</x:v>
      </x:c>
      <x:c r="E18" s="20" t="str">
        <x:v>保留照片</x:v>
      </x:c>
      <x:c r="F18" s="20" t="str">
        <x:v>核对订单</x:v>
      </x:c>
      <x:c r="G18" s="20" t="str">
        <x:v>继续通电测试</x:v>
      </x:c>
      <x:c r="H18" s="20" t="str">
        <x:v>登记处理</x:v>
      </x:c>
      <x:c r="I18" s="20" t="str">
        <x:v>C</x:v>
      </x:c>
      <x:c r="J18" s="20" t="n">
        <x:v>4</x:v>
      </x:c>
      <x:c r="K18" s="20" t="str">
        <x:v>核心</x:v>
      </x:c>
    </x:row>
    <x:row r="19">
      <x:c r="A19" s="20" t="str">
        <x:v>Q016</x:v>
      </x:c>
      <x:c r="B19" s="20" t="str">
        <x:v>产品知识</x:v>
      </x:c>
      <x:c r="C19" s="20" t="str">
        <x:v>判断</x:v>
      </x:c>
      <x:c r="D19" s="20" t="str">
        <x:v>清洁空气炸锅加热管前必须断电并完全冷却。</x:v>
      </x:c>
      <x:c r="E19" s="20" t="str">
        <x:v>正确</x:v>
      </x:c>
      <x:c r="F19" s="20" t="str">
        <x:v>错误</x:v>
      </x:c>
      <x:c r="G19" s="20" t="str"/>
      <x:c r="H19" s="20" t="str"/>
      <x:c r="I19" s="20" t="str">
        <x:v>A</x:v>
      </x:c>
      <x:c r="J19" s="20" t="n">
        <x:v>3</x:v>
      </x:c>
      <x:c r="K19" s="20" t="str">
        <x:v>基础</x:v>
      </x:c>
    </x:row>
    <x:row r="20">
      <x:c r="A20" s="20" t="str">
        <x:v>Q017</x:v>
      </x:c>
      <x:c r="B20" s="20" t="str">
        <x:v>故障排查</x:v>
      </x:c>
      <x:c r="C20" s="20" t="str">
        <x:v>单选</x:v>
      </x:c>
      <x:c r="D20" s="20" t="str">
        <x:v>养生壶溢出首先应核对？</x:v>
      </x:c>
      <x:c r="E20" s="20" t="str">
        <x:v>食材、水量和功能</x:v>
      </x:c>
      <x:c r="F20" s="20" t="str">
        <x:v>用户年龄</x:v>
      </x:c>
      <x:c r="G20" s="20" t="str">
        <x:v>订单备注</x:v>
      </x:c>
      <x:c r="H20" s="20" t="str">
        <x:v>外箱颜色</x:v>
      </x:c>
      <x:c r="I20" s="20" t="str">
        <x:v>A</x:v>
      </x:c>
      <x:c r="J20" s="20" t="n">
        <x:v>3</x:v>
      </x:c>
      <x:c r="K20" s="20" t="str">
        <x:v>基础</x:v>
      </x:c>
    </x:row>
    <x:row r="21">
      <x:c r="A21" s="20" t="str">
        <x:v>Q018</x:v>
      </x:c>
      <x:c r="B21" s="20" t="str">
        <x:v>服务规范</x:v>
      </x:c>
      <x:c r="C21" s="20" t="str">
        <x:v>判断</x:v>
      </x:c>
      <x:c r="D21" s="20" t="str">
        <x:v>安抚用户等同于承诺赔偿。</x:v>
      </x:c>
      <x:c r="E21" s="20" t="str">
        <x:v>正确</x:v>
      </x:c>
      <x:c r="F21" s="20" t="str">
        <x:v>错误</x:v>
      </x:c>
      <x:c r="G21" s="20" t="str"/>
      <x:c r="H21" s="20" t="str"/>
      <x:c r="I21" s="20" t="str">
        <x:v>B</x:v>
      </x:c>
      <x:c r="J21" s="20" t="n">
        <x:v>3</x:v>
      </x:c>
      <x:c r="K21" s="20" t="str">
        <x:v>核心</x:v>
      </x:c>
    </x:row>
    <x:row r="22">
      <x:c r="A22" s="20" t="str">
        <x:v>Q019</x:v>
      </x:c>
      <x:c r="B22" s="20" t="str">
        <x:v>售后流程</x:v>
      </x:c>
      <x:c r="C22" s="20" t="str">
        <x:v>单选</x:v>
      </x:c>
      <x:c r="D22" s="20" t="str">
        <x:v>配件购买前最重要的是？</x:v>
      </x:c>
      <x:c r="E22" s="20" t="str">
        <x:v>价格最低</x:v>
      </x:c>
      <x:c r="F22" s="20" t="str">
        <x:v>确认型号与适配关系</x:v>
      </x:c>
      <x:c r="G22" s="20" t="str">
        <x:v>颜色相近</x:v>
      </x:c>
      <x:c r="H22" s="20" t="str">
        <x:v>销量最高</x:v>
      </x:c>
      <x:c r="I22" s="20" t="str">
        <x:v>B</x:v>
      </x:c>
      <x:c r="J22" s="20" t="n">
        <x:v>3</x:v>
      </x:c>
      <x:c r="K22" s="20" t="str">
        <x:v>基础</x:v>
      </x:c>
    </x:row>
    <x:row r="23">
      <x:c r="A23" s="20" t="str">
        <x:v>Q020</x:v>
      </x:c>
      <x:c r="B23" s="20" t="str">
        <x:v>安全故障</x:v>
      </x:c>
      <x:c r="C23" s="20" t="str">
        <x:v>单选</x:v>
      </x:c>
      <x:c r="D23" s="20" t="str">
        <x:v>发现电源线破损时应？</x:v>
      </x:c>
      <x:c r="E23" s="20" t="str">
        <x:v>缠胶带继续用</x:v>
      </x:c>
      <x:c r="F23" s="20" t="str">
        <x:v>停止使用并升级</x:v>
      </x:c>
      <x:c r="G23" s="20" t="str">
        <x:v>换插座试试</x:v>
      </x:c>
      <x:c r="H23" s="20" t="str">
        <x:v>降低水量</x:v>
      </x:c>
      <x:c r="I23" s="20" t="str">
        <x:v>B</x:v>
      </x:c>
      <x:c r="J23" s="20" t="n">
        <x:v>4</x:v>
      </x:c>
      <x:c r="K23" s="20" t="str">
        <x:v>核心</x:v>
      </x:c>
    </x:row>
    <x:row r="24">
      <x:c r="A24" s="20" t="str">
        <x:v>Q021</x:v>
      </x:c>
      <x:c r="B24" s="20" t="str">
        <x:v>产品知识</x:v>
      </x:c>
      <x:c r="C24" s="20" t="str">
        <x:v>判断</x:v>
      </x:c>
      <x:c r="D24" s="20" t="str">
        <x:v>所有空气炸锅首次使用都必须空烧。</x:v>
      </x:c>
      <x:c r="E24" s="20" t="str">
        <x:v>正确</x:v>
      </x:c>
      <x:c r="F24" s="20" t="str">
        <x:v>错误</x:v>
      </x:c>
      <x:c r="G24" s="20" t="str"/>
      <x:c r="H24" s="20" t="str"/>
      <x:c r="I24" s="20" t="str">
        <x:v>B</x:v>
      </x:c>
      <x:c r="J24" s="20" t="n">
        <x:v>3</x:v>
      </x:c>
      <x:c r="K24" s="20" t="str">
        <x:v>核心</x:v>
      </x:c>
    </x:row>
    <x:row r="25">
      <x:c r="A25" s="20" t="str">
        <x:v>Q022</x:v>
      </x:c>
      <x:c r="B25" s="20" t="str">
        <x:v>故障排查</x:v>
      </x:c>
      <x:c r="C25" s="20" t="str">
        <x:v>单选</x:v>
      </x:c>
      <x:c r="D25" s="20" t="str">
        <x:v>烧水噪声较大但无其他异常，可先检查？</x:v>
      </x:c>
      <x:c r="E25" s="20" t="str">
        <x:v>水垢和放置情况</x:v>
      </x:c>
      <x:c r="F25" s="20" t="str">
        <x:v>保修卡颜色</x:v>
      </x:c>
      <x:c r="G25" s="20" t="str">
        <x:v>收货地址</x:v>
      </x:c>
      <x:c r="H25" s="20" t="str">
        <x:v>客服排班</x:v>
      </x:c>
      <x:c r="I25" s="20" t="str">
        <x:v>A</x:v>
      </x:c>
      <x:c r="J25" s="20" t="n">
        <x:v>3</x:v>
      </x:c>
      <x:c r="K25" s="20" t="str">
        <x:v>基础</x:v>
      </x:c>
    </x:row>
    <x:row r="26">
      <x:c r="A26" s="20" t="str">
        <x:v>Q023</x:v>
      </x:c>
      <x:c r="B26" s="20" t="str">
        <x:v>服务规范</x:v>
      </x:c>
      <x:c r="C26" s="20" t="str">
        <x:v>单选</x:v>
      </x:c>
      <x:c r="D26" s="20" t="str">
        <x:v>高风险问题处理原则是？</x:v>
      </x:c>
      <x:c r="E26" s="20" t="str">
        <x:v>效率优先</x:v>
      </x:c>
      <x:c r="F26" s="20" t="str">
        <x:v>安全优先并及时升级</x:v>
      </x:c>
      <x:c r="G26" s="20" t="str">
        <x:v>销售转化优先</x:v>
      </x:c>
      <x:c r="H26" s="20" t="str">
        <x:v>避免记录</x:v>
      </x:c>
      <x:c r="I26" s="20" t="str">
        <x:v>B</x:v>
      </x:c>
      <x:c r="J26" s="20" t="n">
        <x:v>4</x:v>
      </x:c>
      <x:c r="K26" s="20" t="str">
        <x:v>核心</x:v>
      </x:c>
    </x:row>
    <x:row r="27">
      <x:c r="A27" s="20" t="str">
        <x:v>Q024</x:v>
      </x:c>
      <x:c r="B27" s="20" t="str">
        <x:v>售后流程</x:v>
      </x:c>
      <x:c r="C27" s="20" t="str">
        <x:v>判断</x:v>
      </x:c>
      <x:c r="D27" s="20" t="str">
        <x:v>模拟政策可当作企业真实政策向用户承诺。</x:v>
      </x:c>
      <x:c r="E27" s="20" t="str">
        <x:v>正确</x:v>
      </x:c>
      <x:c r="F27" s="20" t="str">
        <x:v>错误</x:v>
      </x:c>
      <x:c r="G27" s="20" t="str"/>
      <x:c r="H27" s="20" t="str"/>
      <x:c r="I27" s="20" t="str">
        <x:v>B</x:v>
      </x:c>
      <x:c r="J27" s="20" t="n">
        <x:v>4</x:v>
      </x:c>
      <x:c r="K27" s="20" t="str">
        <x:v>核心</x:v>
      </x:c>
    </x:row>
    <x:row r="28">
      <x:c r="A28" s="20" t="str">
        <x:v>Q025</x:v>
      </x:c>
      <x:c r="B28" s="20" t="str">
        <x:v>产品知识</x:v>
      </x:c>
      <x:c r="C28" s="20" t="str">
        <x:v>单选</x:v>
      </x:c>
      <x:c r="D28" s="20" t="str">
        <x:v>肉类烹饪建议中应强调？</x:v>
      </x:c>
      <x:c r="E28" s="20" t="str">
        <x:v>外表上色即可</x:v>
      </x:c>
      <x:c r="F28" s="20" t="str">
        <x:v>确保熟透</x:v>
      </x:c>
      <x:c r="G28" s="20" t="str">
        <x:v>固定时间适用所有情况</x:v>
      </x:c>
      <x:c r="H28" s="20" t="str">
        <x:v>无需翻面</x:v>
      </x:c>
      <x:c r="I28" s="20" t="str">
        <x:v>B</x:v>
      </x:c>
      <x:c r="J28" s="20" t="n">
        <x:v>3</x:v>
      </x:c>
      <x:c r="K28" s="20" t="str">
        <x:v>基础</x:v>
      </x:c>
    </x:row>
    <x:row r="29">
      <x:c r="A29" s="20" t="str">
        <x:v>Q026</x:v>
      </x:c>
      <x:c r="B29" s="20" t="str">
        <x:v>故障排查</x:v>
      </x:c>
      <x:c r="C29" s="20" t="str">
        <x:v>判断</x:v>
      </x:c>
      <x:c r="D29" s="20" t="str">
        <x:v>排查无效后应让用户无限重复同一步骤。</x:v>
      </x:c>
      <x:c r="E29" s="20" t="str">
        <x:v>正确</x:v>
      </x:c>
      <x:c r="F29" s="20" t="str">
        <x:v>错误</x:v>
      </x:c>
      <x:c r="G29" s="20" t="str"/>
      <x:c r="H29" s="20" t="str"/>
      <x:c r="I29" s="20" t="str">
        <x:v>B</x:v>
      </x:c>
      <x:c r="J29" s="20" t="n">
        <x:v>3</x:v>
      </x:c>
      <x:c r="K29" s="20" t="str">
        <x:v>核心</x:v>
      </x:c>
    </x:row>
    <x:row r="30">
      <x:c r="A30" s="20" t="str">
        <x:v>Q027</x:v>
      </x:c>
      <x:c r="B30" s="20" t="str">
        <x:v>服务规范</x:v>
      </x:c>
      <x:c r="C30" s="20" t="str">
        <x:v>单选</x:v>
      </x:c>
      <x:c r="D30" s="20" t="str">
        <x:v>结束服务前应？</x:v>
      </x:c>
      <x:c r="E30" s="20" t="str">
        <x:v>确认问题与下一步</x:v>
      </x:c>
      <x:c r="F30" s="20" t="str">
        <x:v>立即结束</x:v>
      </x:c>
      <x:c r="G30" s="20" t="str">
        <x:v>删除记录</x:v>
      </x:c>
      <x:c r="H30" s="20" t="str">
        <x:v>索要好评</x:v>
      </x:c>
      <x:c r="I30" s="20" t="str">
        <x:v>A</x:v>
      </x:c>
      <x:c r="J30" s="20" t="n">
        <x:v>3</x:v>
      </x:c>
      <x:c r="K30" s="20" t="str">
        <x:v>基础</x:v>
      </x:c>
    </x:row>
    <x:row r="31">
      <x:c r="A31" s="20" t="str">
        <x:v>Q028</x:v>
      </x:c>
      <x:c r="B31" s="20" t="str">
        <x:v>售后流程</x:v>
      </x:c>
      <x:c r="C31" s="20" t="str">
        <x:v>单选</x:v>
      </x:c>
      <x:c r="D31" s="20" t="str">
        <x:v>开票问题首先应核对？</x:v>
      </x:c>
      <x:c r="E31" s="20" t="str">
        <x:v>购买渠道和订单</x:v>
      </x:c>
      <x:c r="F31" s="20" t="str">
        <x:v>用户爱好</x:v>
      </x:c>
      <x:c r="G31" s="20" t="str">
        <x:v>产品重量</x:v>
      </x:c>
      <x:c r="H31" s="20" t="str">
        <x:v>客服评分</x:v>
      </x:c>
      <x:c r="I31" s="20" t="str">
        <x:v>A</x:v>
      </x:c>
      <x:c r="J31" s="20" t="n">
        <x:v>3</x:v>
      </x:c>
      <x:c r="K31" s="20" t="str">
        <x:v>基础</x:v>
      </x:c>
    </x:row>
    <x:row r="32">
      <x:c r="A32" s="20" t="str">
        <x:v>Q029</x:v>
      </x:c>
      <x:c r="B32" s="20" t="str">
        <x:v>隐私安全</x:v>
      </x:c>
      <x:c r="C32" s="20" t="str">
        <x:v>单选</x:v>
      </x:c>
      <x:c r="D32" s="20" t="str">
        <x:v>个人信息收集原则是？</x:v>
      </x:c>
      <x:c r="E32" s="20" t="str">
        <x:v>越多越好</x:v>
      </x:c>
      <x:c r="F32" s="20" t="str">
        <x:v>最小必要且走授权渠道</x:v>
      </x:c>
      <x:c r="G32" s="20" t="str">
        <x:v>发送到私人账号</x:v>
      </x:c>
      <x:c r="H32" s="20" t="str">
        <x:v>永久保存</x:v>
      </x:c>
      <x:c r="I32" s="20" t="str">
        <x:v>B</x:v>
      </x:c>
      <x:c r="J32" s="20" t="n">
        <x:v>4</x:v>
      </x:c>
      <x:c r="K32" s="20" t="str">
        <x:v>核心</x:v>
      </x:c>
    </x:row>
    <x:row r="33">
      <x:c r="A33" s="21" t="str">
        <x:v>Q030</x:v>
      </x:c>
      <x:c r="B33" s="21" t="str">
        <x:v>服务规范</x:v>
      </x:c>
      <x:c r="C33" s="21" t="str">
        <x:v>判断</x:v>
      </x:c>
      <x:c r="D33" s="21" t="str">
        <x:v>准确性不确定时，明确告知并核实比快速猜测更专业。</x:v>
      </x:c>
      <x:c r="E33" s="21" t="str">
        <x:v>正确</x:v>
      </x:c>
      <x:c r="F33" s="21" t="str">
        <x:v>错误</x:v>
      </x:c>
      <x:c r="G33" s="21" t="str"/>
      <x:c r="H33" s="21" t="str"/>
      <x:c r="I33" s="21" t="str">
        <x:v>A</x:v>
      </x:c>
      <x:c r="J33" s="21" t="n">
        <x:v>4</x:v>
      </x:c>
      <x:c r="K33" s="21" t="str">
        <x:v>核心</x:v>
      </x:c>
    </x:row>
  </x:sheetData>
  <x:mergeCells>
    <x:mergeCell ref="A1:J1"/>
    <x:mergeCell ref="A2:H2"/>
  </x:mergeCells>
  <x:pageMargins left="0.7" right="0.7" top="0.75" bottom="0.75" header="0.3" footer="0.3"/>
  <x:tableParts count="1">
    <x:tablePart xmlns:r="http://schemas.openxmlformats.org/officeDocument/2006/relationships" r:id="R81b39895cf3a4d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0" hidden="0" customWidth="1"/>
    <x:col min="8" max="8" width="10" hidden="0" customWidth="1"/>
    <x:col min="9" max="9" width="14" hidden="0" customWidth="1"/>
    <x:col min="10" max="10" width="12" hidden="0" customWidth="1"/>
    <x:col min="11" max="11" width="30" hidden="0" customWidth="1"/>
  </x:cols>
  <x:sheetData>
    <x:row r="1" ht="34" customHeight="1">
      <x:c r="A1" s="3" t="str">
        <x:v>客服月考成绩明细</x:v>
      </x:c>
    </x:row>
    <x:row r="2" ht="28" customHeight="1">
      <x:c r="A2" s="6" t="str">
        <x:v>输入五个模块得分后，总分、是否及格与辅导建议自动计算</x:v>
      </x:c>
    </x:row>
    <x:row r="3" ht="28" customHeight="1">
      <x:c r="A3" s="11" t="str">
        <x:v>员工编号</x:v>
      </x:c>
      <x:c r="B3" s="11" t="str">
        <x:v>姓名</x:v>
      </x:c>
      <x:c r="C3" s="11" t="str">
        <x:v>产品知识(30)</x:v>
      </x:c>
      <x:c r="D3" s="11" t="str">
        <x:v>故障排查(30)</x:v>
      </x:c>
      <x:c r="E3" s="11" t="str">
        <x:v>售后流程(20)</x:v>
      </x:c>
      <x:c r="F3" s="11" t="str">
        <x:v>服务规范(20)</x:v>
      </x:c>
      <x:c r="G3" s="11" t="str">
        <x:v>总分</x:v>
      </x:c>
      <x:c r="H3" s="11" t="str">
        <x:v>是否及格</x:v>
      </x:c>
      <x:c r="I3" s="11" t="str">
        <x:v>薄弱模块</x:v>
      </x:c>
      <x:c r="J3" s="11" t="str">
        <x:v>辅导优先级</x:v>
      </x:c>
      <x:c r="K3" s="11" t="str">
        <x:v>备注</x:v>
      </x:c>
    </x:row>
    <x:row r="4">
      <x:c r="A4" s="19" t="str">
        <x:v>E001</x:v>
      </x:c>
      <x:c r="B4" s="19" t="str">
        <x:v>陈晨</x:v>
      </x:c>
      <x:c r="C4" s="25" t="n">
        <x:v>26</x:v>
      </x:c>
      <x:c r="D4" s="25" t="n">
        <x:v>27</x:v>
      </x:c>
      <x:c r="E4" s="25" t="n">
        <x:v>18</x:v>
      </x:c>
      <x:c r="F4" s="25" t="n">
        <x:v>18</x:v>
      </x:c>
      <x:c r="G4" s="25" t="n">
        <x:f>SUM(C4:F4)</x:f>
        <x:v>89</x:v>
      </x:c>
      <x:c r="H4" s="19" t="str">
        <x:f>IF(G4&gt;=80,"及格","不及格")</x:f>
        <x:v>及格</x:v>
      </x:c>
      <x:c r="I4" s="19" t="str">
        <x:f>IF(MIN(C4/30,D4/30,E4/20,F4/20)=C4/30,"产品知识",IF(MIN(C4/30,D4/30,E4/20,F4/20)=D4/30,"故障排查",IF(MIN(C4/30,D4/30,E4/20,F4/20)=E4/20,"售后流程","服务规范")))</x:f>
        <x:v>产品知识</x:v>
      </x:c>
      <x:c r="J4" s="19" t="str">
        <x:f>IF(G4&lt;70,"高",IF(G4&lt;80,"中","低"))</x:f>
        <x:v>低</x:v>
      </x:c>
      <x:c r="K4" s="19" t="str">
        <x:f>IF(H4="不及格","安排专项辅导与补考",IF(G4&lt;85,"巩固薄弱模块","保持并参与案例分享"))</x:f>
        <x:v>保持并参与案例分享</x:v>
      </x:c>
    </x:row>
    <x:row r="5">
      <x:c r="A5" s="20" t="str">
        <x:v>E002</x:v>
      </x:c>
      <x:c r="B5" s="20" t="str">
        <x:v>李悦</x:v>
      </x:c>
      <x:c r="C5" s="26" t="n">
        <x:v>22</x:v>
      </x:c>
      <x:c r="D5" s="26" t="n">
        <x:v>24</x:v>
      </x:c>
      <x:c r="E5" s="26" t="n">
        <x:v>16</x:v>
      </x:c>
      <x:c r="F5" s="26" t="n">
        <x:v>17</x:v>
      </x:c>
      <x:c r="G5" s="26" t="n">
        <x:f>SUM(C5:F5)</x:f>
        <x:v>79</x:v>
      </x:c>
      <x:c r="H5" s="20" t="str">
        <x:f>IF(G5&gt;=80,"及格","不及格")</x:f>
        <x:v>不及格</x:v>
      </x:c>
      <x:c r="I5" s="20" t="str">
        <x:f>IF(MIN(C5/30,D5/30,E5/20,F5/20)=C5/30,"产品知识",IF(MIN(C5/30,D5/30,E5/20,F5/20)=D5/30,"故障排查",IF(MIN(C5/30,D5/30,E5/20,F5/20)=E5/20,"售后流程","服务规范")))</x:f>
        <x:v>产品知识</x:v>
      </x:c>
      <x:c r="J5" s="20" t="str">
        <x:f>IF(G5&lt;70,"高",IF(G5&lt;80,"中","低"))</x:f>
        <x:v>中</x:v>
      </x:c>
      <x:c r="K5" s="20" t="str">
        <x:f>IF(H5="不及格","安排专项辅导与补考",IF(G5&lt;85,"巩固薄弱模块","保持并参与案例分享"))</x:f>
        <x:v>安排专项辅导与补考</x:v>
      </x:c>
    </x:row>
    <x:row r="6">
      <x:c r="A6" s="20" t="str">
        <x:v>E003</x:v>
      </x:c>
      <x:c r="B6" s="20" t="str">
        <x:v>王宁</x:v>
      </x:c>
      <x:c r="C6" s="26" t="n">
        <x:v>18</x:v>
      </x:c>
      <x:c r="D6" s="26" t="n">
        <x:v>20</x:v>
      </x:c>
      <x:c r="E6" s="26" t="n">
        <x:v>15</x:v>
      </x:c>
      <x:c r="F6" s="26" t="n">
        <x:v>14</x:v>
      </x:c>
      <x:c r="G6" s="26" t="n">
        <x:f>SUM(C6:F6)</x:f>
        <x:v>67</x:v>
      </x:c>
      <x:c r="H6" s="20" t="str">
        <x:f>IF(G6&gt;=80,"及格","不及格")</x:f>
        <x:v>不及格</x:v>
      </x:c>
      <x:c r="I6" s="20" t="str">
        <x:f>IF(MIN(C6/30,D6/30,E6/20,F6/20)=C6/30,"产品知识",IF(MIN(C6/30,D6/30,E6/20,F6/20)=D6/30,"故障排查",IF(MIN(C6/30,D6/30,E6/20,F6/20)=E6/20,"售后流程","服务规范")))</x:f>
        <x:v>产品知识</x:v>
      </x:c>
      <x:c r="J6" s="20" t="str">
        <x:f>IF(G6&lt;70,"高",IF(G6&lt;80,"中","低"))</x:f>
        <x:v>高</x:v>
      </x:c>
      <x:c r="K6" s="20" t="str">
        <x:f>IF(H6="不及格","安排专项辅导与补考",IF(G6&lt;85,"巩固薄弱模块","保持并参与案例分享"))</x:f>
        <x:v>安排专项辅导与补考</x:v>
      </x:c>
    </x:row>
    <x:row r="7">
      <x:c r="A7" s="20" t="str">
        <x:v>E004</x:v>
      </x:c>
      <x:c r="B7" s="20" t="str">
        <x:v>赵可</x:v>
      </x:c>
      <x:c r="C7" s="26" t="n">
        <x:v>28</x:v>
      </x:c>
      <x:c r="D7" s="26" t="n">
        <x:v>26</x:v>
      </x:c>
      <x:c r="E7" s="26" t="n">
        <x:v>19</x:v>
      </x:c>
      <x:c r="F7" s="26" t="n">
        <x:v>18</x:v>
      </x:c>
      <x:c r="G7" s="26" t="n">
        <x:f>SUM(C7:F7)</x:f>
        <x:v>91</x:v>
      </x:c>
      <x:c r="H7" s="20" t="str">
        <x:f>IF(G7&gt;=80,"及格","不及格")</x:f>
        <x:v>及格</x:v>
      </x:c>
      <x:c r="I7" s="20" t="str">
        <x:f>IF(MIN(C7/30,D7/30,E7/20,F7/20)=C7/30,"产品知识",IF(MIN(C7/30,D7/30,E7/20,F7/20)=D7/30,"故障排查",IF(MIN(C7/30,D7/30,E7/20,F7/20)=E7/20,"售后流程","服务规范")))</x:f>
        <x:v>故障排查</x:v>
      </x:c>
      <x:c r="J7" s="20" t="str">
        <x:f>IF(G7&lt;70,"高",IF(G7&lt;80,"中","低"))</x:f>
        <x:v>低</x:v>
      </x:c>
      <x:c r="K7" s="20" t="str">
        <x:f>IF(H7="不及格","安排专项辅导与补考",IF(G7&lt;85,"巩固薄弱模块","保持并参与案例分享"))</x:f>
        <x:v>保持并参与案例分享</x:v>
      </x:c>
    </x:row>
    <x:row r="8">
      <x:c r="A8" s="20" t="str">
        <x:v>E005</x:v>
      </x:c>
      <x:c r="B8" s="20" t="str">
        <x:v>周青</x:v>
      </x:c>
      <x:c r="C8" s="26" t="n">
        <x:v>20</x:v>
      </x:c>
      <x:c r="D8" s="26" t="n">
        <x:v>17</x:v>
      </x:c>
      <x:c r="E8" s="26" t="n">
        <x:v>13</x:v>
      </x:c>
      <x:c r="F8" s="26" t="n">
        <x:v>16</x:v>
      </x:c>
      <x:c r="G8" s="26" t="n">
        <x:f>SUM(C8:F8)</x:f>
        <x:v>66</x:v>
      </x:c>
      <x:c r="H8" s="20" t="str">
        <x:f>IF(G8&gt;=80,"及格","不及格")</x:f>
        <x:v>不及格</x:v>
      </x:c>
      <x:c r="I8" s="20" t="str">
        <x:f>IF(MIN(C8/30,D8/30,E8/20,F8/20)=C8/30,"产品知识",IF(MIN(C8/30,D8/30,E8/20,F8/20)=D8/30,"故障排查",IF(MIN(C8/30,D8/30,E8/20,F8/20)=E8/20,"售后流程","服务规范")))</x:f>
        <x:v>故障排查</x:v>
      </x:c>
      <x:c r="J8" s="20" t="str">
        <x:f>IF(G8&lt;70,"高",IF(G8&lt;80,"中","低"))</x:f>
        <x:v>高</x:v>
      </x:c>
      <x:c r="K8" s="20" t="str">
        <x:f>IF(H8="不及格","安排专项辅导与补考",IF(G8&lt;85,"巩固薄弱模块","保持并参与案例分享"))</x:f>
        <x:v>安排专项辅导与补考</x:v>
      </x:c>
    </x:row>
    <x:row r="9">
      <x:c r="A9" s="20" t="str">
        <x:v>E006</x:v>
      </x:c>
      <x:c r="B9" s="20" t="str">
        <x:v>孙然</x:v>
      </x:c>
      <x:c r="C9" s="26" t="n">
        <x:v>25</x:v>
      </x:c>
      <x:c r="D9" s="26" t="n">
        <x:v>23</x:v>
      </x:c>
      <x:c r="E9" s="26" t="n">
        <x:v>17</x:v>
      </x:c>
      <x:c r="F9" s="26" t="n">
        <x:v>19</x:v>
      </x:c>
      <x:c r="G9" s="26" t="n">
        <x:f>SUM(C9:F9)</x:f>
        <x:v>84</x:v>
      </x:c>
      <x:c r="H9" s="20" t="str">
        <x:f>IF(G9&gt;=80,"及格","不及格")</x:f>
        <x:v>及格</x:v>
      </x:c>
      <x:c r="I9" s="20" t="str">
        <x:f>IF(MIN(C9/30,D9/30,E9/20,F9/20)=C9/30,"产品知识",IF(MIN(C9/30,D9/30,E9/20,F9/20)=D9/30,"故障排查",IF(MIN(C9/30,D9/30,E9/20,F9/20)=E9/20,"售后流程","服务规范")))</x:f>
        <x:v>故障排查</x:v>
      </x:c>
      <x:c r="J9" s="20" t="str">
        <x:f>IF(G9&lt;70,"高",IF(G9&lt;80,"中","低"))</x:f>
        <x:v>低</x:v>
      </x:c>
      <x:c r="K9" s="20" t="str">
        <x:f>IF(H9="不及格","安排专项辅导与补考",IF(G9&lt;85,"巩固薄弱模块","保持并参与案例分享"))</x:f>
        <x:v>巩固薄弱模块</x:v>
      </x:c>
    </x:row>
    <x:row r="10">
      <x:c r="A10" s="20" t="str">
        <x:v>E007</x:v>
      </x:c>
      <x:c r="B10" s="20" t="str">
        <x:v>吴桐</x:v>
      </x:c>
      <x:c r="C10" s="26" t="n">
        <x:v>17</x:v>
      </x:c>
      <x:c r="D10" s="26" t="n">
        <x:v>16</x:v>
      </x:c>
      <x:c r="E10" s="26" t="n">
        <x:v>14</x:v>
      </x:c>
      <x:c r="F10" s="26" t="n">
        <x:v>13</x:v>
      </x:c>
      <x:c r="G10" s="26" t="n">
        <x:f>SUM(C10:F10)</x:f>
        <x:v>60</x:v>
      </x:c>
      <x:c r="H10" s="20" t="str">
        <x:f>IF(G10&gt;=80,"及格","不及格")</x:f>
        <x:v>不及格</x:v>
      </x:c>
      <x:c r="I10" s="20" t="str">
        <x:f>IF(MIN(C10/30,D10/30,E10/20,F10/20)=C10/30,"产品知识",IF(MIN(C10/30,D10/30,E10/20,F10/20)=D10/30,"故障排查",IF(MIN(C10/30,D10/30,E10/20,F10/20)=E10/20,"售后流程","服务规范")))</x:f>
        <x:v>故障排查</x:v>
      </x:c>
      <x:c r="J10" s="20" t="str">
        <x:f>IF(G10&lt;70,"高",IF(G10&lt;80,"中","低"))</x:f>
        <x:v>高</x:v>
      </x:c>
      <x:c r="K10" s="20" t="str">
        <x:f>IF(H10="不及格","安排专项辅导与补考",IF(G10&lt;85,"巩固薄弱模块","保持并参与案例分享"))</x:f>
        <x:v>安排专项辅导与补考</x:v>
      </x:c>
    </x:row>
    <x:row r="11">
      <x:c r="A11" s="20" t="str">
        <x:v>E008</x:v>
      </x:c>
      <x:c r="B11" s="20" t="str">
        <x:v>郑晓</x:v>
      </x:c>
      <x:c r="C11" s="26" t="n">
        <x:v>27</x:v>
      </x:c>
      <x:c r="D11" s="26" t="n">
        <x:v>28</x:v>
      </x:c>
      <x:c r="E11" s="26" t="n">
        <x:v>18</x:v>
      </x:c>
      <x:c r="F11" s="26" t="n">
        <x:v>19</x:v>
      </x:c>
      <x:c r="G11" s="26" t="n">
        <x:f>SUM(C11:F11)</x:f>
        <x:v>92</x:v>
      </x:c>
      <x:c r="H11" s="20" t="str">
        <x:f>IF(G11&gt;=80,"及格","不及格")</x:f>
        <x:v>及格</x:v>
      </x:c>
      <x:c r="I11" s="20" t="str">
        <x:f>IF(MIN(C11/30,D11/30,E11/20,F11/20)=C11/30,"产品知识",IF(MIN(C11/30,D11/30,E11/20,F11/20)=D11/30,"故障排查",IF(MIN(C11/30,D11/30,E11/20,F11/20)=E11/20,"售后流程","服务规范")))</x:f>
        <x:v>产品知识</x:v>
      </x:c>
      <x:c r="J11" s="20" t="str">
        <x:f>IF(G11&lt;70,"高",IF(G11&lt;80,"中","低"))</x:f>
        <x:v>低</x:v>
      </x:c>
      <x:c r="K11" s="20" t="str">
        <x:f>IF(H11="不及格","安排专项辅导与补考",IF(G11&lt;85,"巩固薄弱模块","保持并参与案例分享"))</x:f>
        <x:v>保持并参与案例分享</x:v>
      </x:c>
    </x:row>
    <x:row r="12">
      <x:c r="A12" s="20" t="str">
        <x:v>E009</x:v>
      </x:c>
      <x:c r="B12" s="20" t="str">
        <x:v>冯琳</x:v>
      </x:c>
      <x:c r="C12" s="26" t="n">
        <x:v>21</x:v>
      </x:c>
      <x:c r="D12" s="26" t="n">
        <x:v>22</x:v>
      </x:c>
      <x:c r="E12" s="26" t="n">
        <x:v>16</x:v>
      </x:c>
      <x:c r="F12" s="26" t="n">
        <x:v>15</x:v>
      </x:c>
      <x:c r="G12" s="26" t="n">
        <x:f>SUM(C12:F12)</x:f>
        <x:v>74</x:v>
      </x:c>
      <x:c r="H12" s="20" t="str">
        <x:f>IF(G12&gt;=80,"及格","不及格")</x:f>
        <x:v>不及格</x:v>
      </x:c>
      <x:c r="I12" s="20" t="str">
        <x:f>IF(MIN(C12/30,D12/30,E12/20,F12/20)=C12/30,"产品知识",IF(MIN(C12/30,D12/30,E12/20,F12/20)=D12/30,"故障排查",IF(MIN(C12/30,D12/30,E12/20,F12/20)=E12/20,"售后流程","服务规范")))</x:f>
        <x:v>产品知识</x:v>
      </x:c>
      <x:c r="J12" s="20" t="str">
        <x:f>IF(G12&lt;70,"高",IF(G12&lt;80,"中","低"))</x:f>
        <x:v>中</x:v>
      </x:c>
      <x:c r="K12" s="20" t="str">
        <x:f>IF(H12="不及格","安排专项辅导与补考",IF(G12&lt;85,"巩固薄弱模块","保持并参与案例分享"))</x:f>
        <x:v>安排专项辅导与补考</x:v>
      </x:c>
    </x:row>
    <x:row r="13">
      <x:c r="A13" s="20" t="str">
        <x:v>E010</x:v>
      </x:c>
      <x:c r="B13" s="20" t="str">
        <x:v>何安</x:v>
      </x:c>
      <x:c r="C13" s="26" t="n">
        <x:v>24</x:v>
      </x:c>
      <x:c r="D13" s="26" t="n">
        <x:v>25</x:v>
      </x:c>
      <x:c r="E13" s="26" t="n">
        <x:v>17</x:v>
      </x:c>
      <x:c r="F13" s="26" t="n">
        <x:v>16</x:v>
      </x:c>
      <x:c r="G13" s="26" t="n">
        <x:f>SUM(C13:F13)</x:f>
        <x:v>82</x:v>
      </x:c>
      <x:c r="H13" s="20" t="str">
        <x:f>IF(G13&gt;=80,"及格","不及格")</x:f>
        <x:v>及格</x:v>
      </x:c>
      <x:c r="I13" s="20" t="str">
        <x:f>IF(MIN(C13/30,D13/30,E13/20,F13/20)=C13/30,"产品知识",IF(MIN(C13/30,D13/30,E13/20,F13/20)=D13/30,"故障排查",IF(MIN(C13/30,D13/30,E13/20,F13/20)=E13/20,"售后流程","服务规范")))</x:f>
        <x:v>产品知识</x:v>
      </x:c>
      <x:c r="J13" s="20" t="str">
        <x:f>IF(G13&lt;70,"高",IF(G13&lt;80,"中","低"))</x:f>
        <x:v>低</x:v>
      </x:c>
      <x:c r="K13" s="20" t="str">
        <x:f>IF(H13="不及格","安排专项辅导与补考",IF(G13&lt;85,"巩固薄弱模块","保持并参与案例分享"))</x:f>
        <x:v>巩固薄弱模块</x:v>
      </x:c>
    </x:row>
    <x:row r="14">
      <x:c r="A14" s="20" t="str">
        <x:v>E011</x:v>
      </x:c>
      <x:c r="B14" s="20" t="str">
        <x:v>唐佳</x:v>
      </x:c>
      <x:c r="C14" s="26" t="n">
        <x:v>19</x:v>
      </x:c>
      <x:c r="D14" s="26" t="n">
        <x:v>18</x:v>
      </x:c>
      <x:c r="E14" s="26" t="n">
        <x:v>12</x:v>
      </x:c>
      <x:c r="F14" s="26" t="n">
        <x:v>15</x:v>
      </x:c>
      <x:c r="G14" s="26" t="n">
        <x:f>SUM(C14:F14)</x:f>
        <x:v>64</x:v>
      </x:c>
      <x:c r="H14" s="20" t="str">
        <x:f>IF(G14&gt;=80,"及格","不及格")</x:f>
        <x:v>不及格</x:v>
      </x:c>
      <x:c r="I14" s="20" t="str">
        <x:f>IF(MIN(C14/30,D14/30,E14/20,F14/20)=C14/30,"产品知识",IF(MIN(C14/30,D14/30,E14/20,F14/20)=D14/30,"故障排查",IF(MIN(C14/30,D14/30,E14/20,F14/20)=E14/20,"售后流程","服务规范")))</x:f>
        <x:v>故障排查</x:v>
      </x:c>
      <x:c r="J14" s="20" t="str">
        <x:f>IF(G14&lt;70,"高",IF(G14&lt;80,"中","低"))</x:f>
        <x:v>高</x:v>
      </x:c>
      <x:c r="K14" s="20" t="str">
        <x:f>IF(H14="不及格","安排专项辅导与补考",IF(G14&lt;85,"巩固薄弱模块","保持并参与案例分享"))</x:f>
        <x:v>安排专项辅导与补考</x:v>
      </x:c>
    </x:row>
    <x:row r="15">
      <x:c r="A15" s="21" t="str">
        <x:v>E012</x:v>
      </x:c>
      <x:c r="B15" s="21" t="str">
        <x:v>许诺</x:v>
      </x:c>
      <x:c r="C15" s="27" t="n">
        <x:v>29</x:v>
      </x:c>
      <x:c r="D15" s="27" t="n">
        <x:v>27</x:v>
      </x:c>
      <x:c r="E15" s="27" t="n">
        <x:v>19</x:v>
      </x:c>
      <x:c r="F15" s="27" t="n">
        <x:v>20</x:v>
      </x:c>
      <x:c r="G15" s="27" t="n">
        <x:f>SUM(C15:F15)</x:f>
        <x:v>95</x:v>
      </x:c>
      <x:c r="H15" s="21" t="str">
        <x:f>IF(G15&gt;=80,"及格","不及格")</x:f>
        <x:v>及格</x:v>
      </x:c>
      <x:c r="I15" s="21" t="str">
        <x:f>IF(MIN(C15/30,D15/30,E15/20,F15/20)=C15/30,"产品知识",IF(MIN(C15/30,D15/30,E15/20,F15/20)=D15/30,"故障排查",IF(MIN(C15/30,D15/30,E15/20,F15/20)=E15/20,"售后流程","服务规范")))</x:f>
        <x:v>故障排查</x:v>
      </x:c>
      <x:c r="J15" s="21" t="str">
        <x:f>IF(G15&lt;70,"高",IF(G15&lt;80,"中","低"))</x:f>
        <x:v>低</x:v>
      </x:c>
      <x:c r="K15" s="21" t="str">
        <x:f>IF(H15="不及格","安排专项辅导与补考",IF(G15&lt;85,"巩固薄弱模块","保持并参与案例分享"))</x:f>
        <x:v>保持并参与案例分享</x:v>
      </x:c>
    </x:row>
  </x:sheetData>
  <x:mergeCells>
    <x:mergeCell ref="A1:K1"/>
    <x:mergeCell ref="A2:H2"/>
  </x:mergeCells>
  <x:conditionalFormatting sqref="H4:H15">
    <x:cfRule type="containsText" dxfId="0" priority="1" operator="containsText" text="不及格"/>
  </x:conditionalFormatting>
  <x:conditionalFormatting sqref="J4:J15">
    <x:cfRule type="containsText" dxfId="1" priority="2" operator="containsText" text="高"/>
  </x:conditionalFormatting>
  <x:conditionalFormatting sqref="G4:G15">
    <x:cfRule type="dataBar" priority="3">
      <x:dataBar>
        <x:cfvo type="min"/>
        <x:cfvo type="max"/>
        <x:color rgb="FF2D7F7A"/>
      </x:dataBar>
      <x:extLst>
        <x:ext xmlns:x14="http://schemas.microsoft.com/office/spreadsheetml/2009/9/main" uri="{B025F937-C7B1-47D3-B67F-A62EFF666E3E}">
          <x14:id>{2DF756C4-9B25-ACA0-E18D-FB27DC19116F}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fc877b4635d4e5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2DF756C4-9B25-ACA0-E18D-FB27DC19116F}">
            <x14:dataBar gradient="1">
              <x14:cfvo type="min"/>
              <x14:cfvo type="max"/>
              <x14:fillColor rgb="FF2D7F7A"/>
            </x14:dataBar>
          </x14:cfRule>
          <xm:sqref>G4:G15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14" hidden="0" customWidth="1"/>
    <x:col min="5" max="5" width="12" hidden="0" customWidth="1"/>
    <x:col min="6" max="6" width="32" hidden="0" customWidth="1"/>
  </x:cols>
  <x:sheetData>
    <x:row r="1" ht="34" customHeight="1">
      <x:c r="A1" s="3" t="str">
        <x:v>知识模块分析</x:v>
      </x:c>
    </x:row>
    <x:row r="2" ht="28" customHeight="1">
      <x:c r="A2" s="6" t="str">
        <x:v>依据成绩明细自动识别团队薄弱项，形成下月培训重点</x:v>
      </x:c>
    </x:row>
    <x:row r="3" ht="28" customHeight="1">
      <x:c r="A3" s="11" t="str">
        <x:v>模块</x:v>
      </x:c>
      <x:c r="B3" s="11" t="str">
        <x:v>平均得分</x:v>
      </x:c>
      <x:c r="C3" s="11" t="str">
        <x:v>满分</x:v>
      </x:c>
      <x:c r="D3" s="11" t="str">
        <x:v>平均得分率</x:v>
      </x:c>
      <x:c r="E3" s="11" t="str">
        <x:v>目标线</x:v>
      </x:c>
      <x:c r="F3" s="11" t="str">
        <x:v>培训建议</x:v>
      </x:c>
    </x:row>
    <x:row r="4">
      <x:c r="A4" s="19" t="str">
        <x:v>产品知识</x:v>
      </x:c>
      <x:c r="B4" s="28" t="n">
        <x:f>AVERAGE('成绩明细'!C4:C15)</x:f>
        <x:v>23</x:v>
      </x:c>
      <x:c r="C4" s="19" t="n">
        <x:v>30</x:v>
      </x:c>
      <x:c r="D4" s="31" t="n">
        <x:f>B4/C4</x:f>
        <x:v>0.7666666666666667</x:v>
      </x:c>
      <x:c r="E4" s="31" t="n">
        <x:v>0.8</x:v>
      </x:c>
      <x:c r="F4" s="19" t="str">
        <x:f>IF(D4&lt;E4,"列为下月专项培训","常规复习与案例抽查")</x:f>
        <x:v>列为下月专项培训</x:v>
      </x:c>
    </x:row>
    <x:row r="5">
      <x:c r="A5" s="20" t="str">
        <x:v>故障排查</x:v>
      </x:c>
      <x:c r="B5" s="29" t="n">
        <x:f>AVERAGE('成绩明细'!D4:D15)</x:f>
        <x:v>22.75</x:v>
      </x:c>
      <x:c r="C5" s="20" t="n">
        <x:v>30</x:v>
      </x:c>
      <x:c r="D5" s="32" t="n">
        <x:f>B5/C5</x:f>
        <x:v>0.7583333333333333</x:v>
      </x:c>
      <x:c r="E5" s="32" t="n">
        <x:v>0.8</x:v>
      </x:c>
      <x:c r="F5" s="20" t="str">
        <x:f>IF(D5&lt;E5,"列为下月专项培训","常规复习与案例抽查")</x:f>
        <x:v>列为下月专项培训</x:v>
      </x:c>
    </x:row>
    <x:row r="6">
      <x:c r="A6" s="20" t="str">
        <x:v>售后流程</x:v>
      </x:c>
      <x:c r="B6" s="29" t="n">
        <x:f>AVERAGE('成绩明细'!E4:E15)</x:f>
        <x:v>16.166666666666668</x:v>
      </x:c>
      <x:c r="C6" s="20" t="n">
        <x:v>20</x:v>
      </x:c>
      <x:c r="D6" s="32" t="n">
        <x:f>B6/C6</x:f>
        <x:v>0.8083333333333333</x:v>
      </x:c>
      <x:c r="E6" s="32" t="n">
        <x:v>0.8</x:v>
      </x:c>
      <x:c r="F6" s="20" t="str">
        <x:f>IF(D6&lt;E6,"列为下月专项培训","常规复习与案例抽查")</x:f>
        <x:v>常规复习与案例抽查</x:v>
      </x:c>
    </x:row>
    <x:row r="7">
      <x:c r="A7" s="21" t="str">
        <x:v>服务规范</x:v>
      </x:c>
      <x:c r="B7" s="30" t="n">
        <x:f>AVERAGE('成绩明细'!F4:F15)</x:f>
        <x:v>16.666666666666668</x:v>
      </x:c>
      <x:c r="C7" s="21" t="n">
        <x:v>20</x:v>
      </x:c>
      <x:c r="D7" s="33" t="n">
        <x:f>B7/C7</x:f>
        <x:v>0.8333333333333334</x:v>
      </x:c>
      <x:c r="E7" s="33" t="n">
        <x:v>0.8</x:v>
      </x:c>
      <x:c r="F7" s="21" t="str">
        <x:f>IF(D7&lt;E7,"列为下月专项培训","常规复习与案例抽查")</x:f>
        <x:v>常规复习与案例抽查</x:v>
      </x:c>
    </x:row>
  </x:sheetData>
  <x:mergeCells>
    <x:mergeCell ref="A1:F1"/>
    <x:mergeCell ref="A2:H2"/>
  </x:mergeCells>
  <x:conditionalFormatting sqref="D4:D7">
    <x:cfRule type="colorScale" priority="1">
      <x:colorScale>
        <x:cfvo type="min"/>
        <x:cfvo type="percentile" val="50"/>
        <x:cfvo type="max"/>
        <x:color rgb="FFC94C4C"/>
        <x:color rgb="FFF4D06F"/>
        <x:color rgb="FF3D8B6D"/>
      </x:colorScale>
    </x:cfRule>
  </x:conditionalFormatting>
  <x:pageMargins left="0.7" right="0.7" top="0.75" bottom="0.75" header="0.3" footer="0.3"/>
  <x:drawing xmlns:r="http://schemas.openxmlformats.org/officeDocument/2006/relationships" r:id="Rd98531bbff4d477c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4" hidden="0" customWidth="1"/>
    <x:col min="4" max="4" width="16" hidden="0" customWidth="1"/>
    <x:col min="5" max="5" width="34" hidden="0" customWidth="1"/>
    <x:col min="6" max="6" width="14" hidden="0" customWidth="1"/>
    <x:col min="7" max="7" width="12" hidden="0" customWidth="1"/>
    <x:col min="8" max="8" width="10" hidden="0" customWidth="1"/>
    <x:col min="9" max="9" width="10" hidden="0" customWidth="1"/>
    <x:col min="10" max="10" width="32" hidden="0" customWidth="1"/>
  </x:cols>
  <x:sheetData>
    <x:row r="1" ht="34" customHeight="1">
      <x:c r="A1" s="3" t="str">
        <x:v>模拟用户咨询记录</x:v>
      </x:c>
    </x:row>
    <x:row r="2" ht="28" customHeight="1">
      <x:c r="A2" s="6" t="str">
        <x:v>用于发现高频问题、知识缺口和需更新条目；记录均为虚构样本</x:v>
      </x:c>
    </x:row>
    <x:row r="3" ht="28" customHeight="1">
      <x:c r="A3" s="11" t="str">
        <x:v>记录ID</x:v>
      </x:c>
      <x:c r="B3" s="11" t="str">
        <x:v>日期</x:v>
      </x:c>
      <x:c r="C3" s="11" t="str">
        <x:v>产品类别</x:v>
      </x:c>
      <x:c r="D3" s="11" t="str">
        <x:v>咨询主题</x:v>
      </x:c>
      <x:c r="E3" s="11" t="str">
        <x:v>用户问题摘要</x:v>
      </x:c>
      <x:c r="F3" s="11" t="str">
        <x:v>匹配知识ID</x:v>
      </x:c>
      <x:c r="G3" s="11" t="str">
        <x:v>是否解决</x:v>
      </x:c>
      <x:c r="H3" s="11" t="str">
        <x:v>风险等级</x:v>
      </x:c>
      <x:c r="I3" s="11" t="str">
        <x:v>知识缺口</x:v>
      </x:c>
      <x:c r="J3" s="11" t="str">
        <x:v>迭代建议</x:v>
      </x:c>
    </x:row>
    <x:row r="4">
      <x:c r="A4" s="19" t="str">
        <x:v>C001</x:v>
      </x:c>
      <x:c r="B4" s="22" t="n">
        <x:v>46235</x:v>
      </x:c>
      <x:c r="C4" s="19" t="str">
        <x:v>养生壶</x:v>
      </x:c>
      <x:c r="D4" s="19" t="str">
        <x:v>首次使用</x:v>
      </x:c>
      <x:c r="E4" s="19" t="str">
        <x:v>新壶如何清洁试烧</x:v>
      </x:c>
      <x:c r="F4" s="19" t="str">
        <x:v>KB001</x:v>
      </x:c>
      <x:c r="G4" s="19" t="str">
        <x:v>是</x:v>
      </x:c>
      <x:c r="H4" s="19" t="str">
        <x:v>低</x:v>
      </x:c>
      <x:c r="I4" s="19" t="str">
        <x:v>否</x:v>
      </x:c>
      <x:c r="J4" s="19" t="str">
        <x:v>补充首次使用图片步骤</x:v>
      </x:c>
    </x:row>
    <x:row r="5">
      <x:c r="A5" s="20" t="str">
        <x:v>C002</x:v>
      </x:c>
      <x:c r="B5" s="23" t="n">
        <x:v>46236</x:v>
      </x:c>
      <x:c r="C5" s="20" t="str">
        <x:v>养生壶</x:v>
      </x:c>
      <x:c r="D5" s="20" t="str">
        <x:v>异味</x:v>
      </x:c>
      <x:c r="E5" s="20" t="str">
        <x:v>试烧两次仍有刺鼻气味</x:v>
      </x:c>
      <x:c r="F5" s="20" t="str">
        <x:v>KB002</x:v>
      </x:c>
      <x:c r="G5" s="20" t="str">
        <x:v>升级</x:v>
      </x:c>
      <x:c r="H5" s="20" t="str">
        <x:v>中</x:v>
      </x:c>
      <x:c r="I5" s="20" t="str">
        <x:v>否</x:v>
      </x:c>
      <x:c r="J5" s="20" t="str">
        <x:v>增加异味分级判断</x:v>
      </x:c>
    </x:row>
    <x:row r="6">
      <x:c r="A6" s="20" t="str">
        <x:v>C003</x:v>
      </x:c>
      <x:c r="B6" s="23" t="n">
        <x:v>46237</x:v>
      </x:c>
      <x:c r="C6" s="20" t="str">
        <x:v>养生壶</x:v>
      </x:c>
      <x:c r="D6" s="20" t="str">
        <x:v>水垢</x:v>
      </x:c>
      <x:c r="E6" s="20" t="str">
        <x:v>壶底白点无法擦掉</x:v>
      </x:c>
      <x:c r="F6" s="20" t="str">
        <x:v>KB003</x:v>
      </x:c>
      <x:c r="G6" s="20" t="str">
        <x:v>是</x:v>
      </x:c>
      <x:c r="H6" s="20" t="str">
        <x:v>低</x:v>
      </x:c>
      <x:c r="I6" s="20" t="str">
        <x:v>否</x:v>
      </x:c>
      <x:c r="J6" s="20" t="str">
        <x:v>增加水垢与涂层异常对比</x:v>
      </x:c>
    </x:row>
    <x:row r="7">
      <x:c r="A7" s="20" t="str">
        <x:v>C004</x:v>
      </x:c>
      <x:c r="B7" s="23" t="n">
        <x:v>46238</x:v>
      </x:c>
      <x:c r="C7" s="20" t="str">
        <x:v>电热水壶</x:v>
      </x:c>
      <x:c r="D7" s="20" t="str">
        <x:v>自动断电</x:v>
      </x:c>
      <x:c r="E7" s="20" t="str">
        <x:v>水开后开关不跳</x:v>
      </x:c>
      <x:c r="F7" s="20" t="str">
        <x:v>KB007</x:v>
      </x:c>
      <x:c r="G7" s="20" t="str">
        <x:v>升级</x:v>
      </x:c>
      <x:c r="H7" s="20" t="str">
        <x:v>高</x:v>
      </x:c>
      <x:c r="I7" s="20" t="str">
        <x:v>否</x:v>
      </x:c>
      <x:c r="J7" s="20" t="str">
        <x:v>强化立即停用提示</x:v>
      </x:c>
    </x:row>
    <x:row r="8">
      <x:c r="A8" s="20" t="str">
        <x:v>C005</x:v>
      </x:c>
      <x:c r="B8" s="23" t="n">
        <x:v>46239</x:v>
      </x:c>
      <x:c r="C8" s="20" t="str">
        <x:v>空气炸锅</x:v>
      </x:c>
      <x:c r="D8" s="20" t="str">
        <x:v>食物不熟</x:v>
      </x:c>
      <x:c r="E8" s="20" t="str">
        <x:v>鸡翅外熟内生</x:v>
      </x:c>
      <x:c r="F8" s="20" t="str">
        <x:v>KB012</x:v>
      </x:c>
      <x:c r="G8" s="20" t="str">
        <x:v>是</x:v>
      </x:c>
      <x:c r="H8" s="20" t="str">
        <x:v>低</x:v>
      </x:c>
      <x:c r="I8" s="20" t="str">
        <x:v>否</x:v>
      </x:c>
      <x:c r="J8" s="20" t="str">
        <x:v>补充食材厚度变量</x:v>
      </x:c>
    </x:row>
    <x:row r="9">
      <x:c r="A9" s="20" t="str">
        <x:v>C006</x:v>
      </x:c>
      <x:c r="B9" s="23" t="n">
        <x:v>46240</x:v>
      </x:c>
      <x:c r="C9" s="20" t="str">
        <x:v>通用</x:v>
      </x:c>
      <x:c r="D9" s="20" t="str">
        <x:v>配件</x:v>
      </x:c>
      <x:c r="E9" s="20" t="str">
        <x:v>找不到旧型号炸篮</x:v>
      </x:c>
      <x:c r="F9" s="20" t="str">
        <x:v>KB017</x:v>
      </x:c>
      <x:c r="G9" s="20" t="str">
        <x:v>部分</x:v>
      </x:c>
      <x:c r="H9" s="20" t="str">
        <x:v>低</x:v>
      </x:c>
      <x:c r="I9" s="20" t="str">
        <x:v>是</x:v>
      </x:c>
      <x:c r="J9" s="20" t="str">
        <x:v>建立旧型号配件适配表</x:v>
      </x:c>
    </x:row>
    <x:row r="10">
      <x:c r="A10" s="20" t="str">
        <x:v>C007</x:v>
      </x:c>
      <x:c r="B10" s="23" t="n">
        <x:v>46241</x:v>
      </x:c>
      <x:c r="C10" s="20" t="str">
        <x:v>通用</x:v>
      </x:c>
      <x:c r="D10" s="20" t="str">
        <x:v>退换货</x:v>
      </x:c>
      <x:c r="E10" s="20" t="str">
        <x:v>线下店购买能否线上退</x:v>
      </x:c>
      <x:c r="F10" s="20" t="str">
        <x:v>KB014</x:v>
      </x:c>
      <x:c r="G10" s="20" t="str">
        <x:v>升级</x:v>
      </x:c>
      <x:c r="H10" s="20" t="str">
        <x:v>中</x:v>
      </x:c>
      <x:c r="I10" s="20" t="str">
        <x:v>是</x:v>
      </x:c>
      <x:c r="J10" s="20" t="str">
        <x:v>按渠道补充流程分支</x:v>
      </x:c>
    </x:row>
    <x:row r="11">
      <x:c r="A11" s="20" t="str">
        <x:v>C008</x:v>
      </x:c>
      <x:c r="B11" s="23" t="n">
        <x:v>46242</x:v>
      </x:c>
      <x:c r="C11" s="20" t="str">
        <x:v>电热水壶</x:v>
      </x:c>
      <x:c r="D11" s="20" t="str">
        <x:v>漏水</x:v>
      </x:c>
      <x:c r="E11" s="20" t="str">
        <x:v>底座下方持续有水</x:v>
      </x:c>
      <x:c r="F11" s="20" t="str">
        <x:v>KB009</x:v>
      </x:c>
      <x:c r="G11" s="20" t="str">
        <x:v>升级</x:v>
      </x:c>
      <x:c r="H11" s="20" t="str">
        <x:v>高</x:v>
      </x:c>
      <x:c r="I11" s="20" t="str">
        <x:v>否</x:v>
      </x:c>
      <x:c r="J11" s="20" t="str">
        <x:v>增加拍照取证要求</x:v>
      </x:c>
    </x:row>
    <x:row r="12">
      <x:c r="A12" s="20" t="str">
        <x:v>C009</x:v>
      </x:c>
      <x:c r="B12" s="23" t="n">
        <x:v>46243</x:v>
      </x:c>
      <x:c r="C12" s="20" t="str">
        <x:v>空气炸锅</x:v>
      </x:c>
      <x:c r="D12" s="20" t="str">
        <x:v>冒烟</x:v>
      </x:c>
      <x:c r="E12" s="20" t="str">
        <x:v>炸五花肉时有白烟</x:v>
      </x:c>
      <x:c r="F12" s="20" t="str">
        <x:v>KB011</x:v>
      </x:c>
      <x:c r="G12" s="20" t="str">
        <x:v>是</x:v>
      </x:c>
      <x:c r="H12" s="20" t="str">
        <x:v>中</x:v>
      </x:c>
      <x:c r="I12" s="20" t="str">
        <x:v>否</x:v>
      </x:c>
      <x:c r="J12" s="20" t="str">
        <x:v>区分油烟与异常浓烟</x:v>
      </x:c>
    </x:row>
    <x:row r="13">
      <x:c r="A13" s="20" t="str">
        <x:v>C010</x:v>
      </x:c>
      <x:c r="B13" s="23" t="n">
        <x:v>46244</x:v>
      </x:c>
      <x:c r="C13" s="20" t="str">
        <x:v>通用</x:v>
      </x:c>
      <x:c r="D13" s="20" t="str">
        <x:v>投诉</x:v>
      </x:c>
      <x:c r="E13" s="20" t="str">
        <x:v>用户要求立即赔偿</x:v>
      </x:c>
      <x:c r="F13" s="20" t="str">
        <x:v>KB019</x:v>
      </x:c>
      <x:c r="G13" s="20" t="str">
        <x:v>升级</x:v>
      </x:c>
      <x:c r="H13" s="20" t="str">
        <x:v>高</x:v>
      </x:c>
      <x:c r="I13" s="20" t="str">
        <x:v>否</x:v>
      </x:c>
      <x:c r="J13" s="20" t="str">
        <x:v>补充诉求记录模板</x:v>
      </x:c>
    </x:row>
    <x:row r="14">
      <x:c r="A14" s="20" t="str">
        <x:v>C011</x:v>
      </x:c>
      <x:c r="B14" s="23" t="n">
        <x:v>46245</x:v>
      </x:c>
      <x:c r="C14" s="20" t="str">
        <x:v>养生壶</x:v>
      </x:c>
      <x:c r="D14" s="20" t="str">
        <x:v>首次使用</x:v>
      </x:c>
      <x:c r="E14" s="20" t="str">
        <x:v>新壶如何清洁试烧</x:v>
      </x:c>
      <x:c r="F14" s="20" t="str">
        <x:v>KB001</x:v>
      </x:c>
      <x:c r="G14" s="20" t="str">
        <x:v>是</x:v>
      </x:c>
      <x:c r="H14" s="20" t="str">
        <x:v>低</x:v>
      </x:c>
      <x:c r="I14" s="20" t="str">
        <x:v>否</x:v>
      </x:c>
      <x:c r="J14" s="20" t="str">
        <x:v>补充首次使用图片步骤</x:v>
      </x:c>
    </x:row>
    <x:row r="15">
      <x:c r="A15" s="20" t="str">
        <x:v>C012</x:v>
      </x:c>
      <x:c r="B15" s="23" t="n">
        <x:v>46246</x:v>
      </x:c>
      <x:c r="C15" s="20" t="str">
        <x:v>养生壶</x:v>
      </x:c>
      <x:c r="D15" s="20" t="str">
        <x:v>异味</x:v>
      </x:c>
      <x:c r="E15" s="20" t="str">
        <x:v>试烧两次仍有刺鼻气味</x:v>
      </x:c>
      <x:c r="F15" s="20" t="str">
        <x:v>KB002</x:v>
      </x:c>
      <x:c r="G15" s="20" t="str">
        <x:v>升级</x:v>
      </x:c>
      <x:c r="H15" s="20" t="str">
        <x:v>中</x:v>
      </x:c>
      <x:c r="I15" s="20" t="str">
        <x:v>否</x:v>
      </x:c>
      <x:c r="J15" s="20" t="str">
        <x:v>增加异味分级判断</x:v>
      </x:c>
    </x:row>
    <x:row r="16">
      <x:c r="A16" s="20" t="str">
        <x:v>C013</x:v>
      </x:c>
      <x:c r="B16" s="23" t="n">
        <x:v>46247</x:v>
      </x:c>
      <x:c r="C16" s="20" t="str">
        <x:v>养生壶</x:v>
      </x:c>
      <x:c r="D16" s="20" t="str">
        <x:v>水垢</x:v>
      </x:c>
      <x:c r="E16" s="20" t="str">
        <x:v>壶底白点无法擦掉</x:v>
      </x:c>
      <x:c r="F16" s="20" t="str">
        <x:v>KB003</x:v>
      </x:c>
      <x:c r="G16" s="20" t="str">
        <x:v>是</x:v>
      </x:c>
      <x:c r="H16" s="20" t="str">
        <x:v>低</x:v>
      </x:c>
      <x:c r="I16" s="20" t="str">
        <x:v>否</x:v>
      </x:c>
      <x:c r="J16" s="20" t="str">
        <x:v>增加水垢与涂层异常对比</x:v>
      </x:c>
    </x:row>
    <x:row r="17">
      <x:c r="A17" s="20" t="str">
        <x:v>C014</x:v>
      </x:c>
      <x:c r="B17" s="23" t="n">
        <x:v>46248</x:v>
      </x:c>
      <x:c r="C17" s="20" t="str">
        <x:v>电热水壶</x:v>
      </x:c>
      <x:c r="D17" s="20" t="str">
        <x:v>自动断电</x:v>
      </x:c>
      <x:c r="E17" s="20" t="str">
        <x:v>水开后开关不跳</x:v>
      </x:c>
      <x:c r="F17" s="20" t="str">
        <x:v>KB007</x:v>
      </x:c>
      <x:c r="G17" s="20" t="str">
        <x:v>升级</x:v>
      </x:c>
      <x:c r="H17" s="20" t="str">
        <x:v>高</x:v>
      </x:c>
      <x:c r="I17" s="20" t="str">
        <x:v>否</x:v>
      </x:c>
      <x:c r="J17" s="20" t="str">
        <x:v>强化立即停用提示</x:v>
      </x:c>
    </x:row>
    <x:row r="18">
      <x:c r="A18" s="20" t="str">
        <x:v>C015</x:v>
      </x:c>
      <x:c r="B18" s="23" t="n">
        <x:v>46249</x:v>
      </x:c>
      <x:c r="C18" s="20" t="str">
        <x:v>空气炸锅</x:v>
      </x:c>
      <x:c r="D18" s="20" t="str">
        <x:v>食物不熟</x:v>
      </x:c>
      <x:c r="E18" s="20" t="str">
        <x:v>鸡翅外熟内生</x:v>
      </x:c>
      <x:c r="F18" s="20" t="str">
        <x:v>KB012</x:v>
      </x:c>
      <x:c r="G18" s="20" t="str">
        <x:v>是</x:v>
      </x:c>
      <x:c r="H18" s="20" t="str">
        <x:v>低</x:v>
      </x:c>
      <x:c r="I18" s="20" t="str">
        <x:v>否</x:v>
      </x:c>
      <x:c r="J18" s="20" t="str">
        <x:v>补充食材厚度变量</x:v>
      </x:c>
    </x:row>
    <x:row r="19">
      <x:c r="A19" s="20" t="str">
        <x:v>C016</x:v>
      </x:c>
      <x:c r="B19" s="23" t="n">
        <x:v>46250</x:v>
      </x:c>
      <x:c r="C19" s="20" t="str">
        <x:v>通用</x:v>
      </x:c>
      <x:c r="D19" s="20" t="str">
        <x:v>配件</x:v>
      </x:c>
      <x:c r="E19" s="20" t="str">
        <x:v>找不到旧型号炸篮</x:v>
      </x:c>
      <x:c r="F19" s="20" t="str">
        <x:v>KB017</x:v>
      </x:c>
      <x:c r="G19" s="20" t="str">
        <x:v>部分</x:v>
      </x:c>
      <x:c r="H19" s="20" t="str">
        <x:v>低</x:v>
      </x:c>
      <x:c r="I19" s="20" t="str">
        <x:v>是</x:v>
      </x:c>
      <x:c r="J19" s="20" t="str">
        <x:v>建立旧型号配件适配表</x:v>
      </x:c>
    </x:row>
    <x:row r="20">
      <x:c r="A20" s="20" t="str">
        <x:v>C017</x:v>
      </x:c>
      <x:c r="B20" s="23" t="n">
        <x:v>46251</x:v>
      </x:c>
      <x:c r="C20" s="20" t="str">
        <x:v>通用</x:v>
      </x:c>
      <x:c r="D20" s="20" t="str">
        <x:v>退换货</x:v>
      </x:c>
      <x:c r="E20" s="20" t="str">
        <x:v>线下店购买能否线上退</x:v>
      </x:c>
      <x:c r="F20" s="20" t="str">
        <x:v>KB014</x:v>
      </x:c>
      <x:c r="G20" s="20" t="str">
        <x:v>升级</x:v>
      </x:c>
      <x:c r="H20" s="20" t="str">
        <x:v>中</x:v>
      </x:c>
      <x:c r="I20" s="20" t="str">
        <x:v>是</x:v>
      </x:c>
      <x:c r="J20" s="20" t="str">
        <x:v>按渠道补充流程分支</x:v>
      </x:c>
    </x:row>
    <x:row r="21">
      <x:c r="A21" s="20" t="str">
        <x:v>C018</x:v>
      </x:c>
      <x:c r="B21" s="23" t="n">
        <x:v>46252</x:v>
      </x:c>
      <x:c r="C21" s="20" t="str">
        <x:v>电热水壶</x:v>
      </x:c>
      <x:c r="D21" s="20" t="str">
        <x:v>漏水</x:v>
      </x:c>
      <x:c r="E21" s="20" t="str">
        <x:v>底座下方持续有水</x:v>
      </x:c>
      <x:c r="F21" s="20" t="str">
        <x:v>KB009</x:v>
      </x:c>
      <x:c r="G21" s="20" t="str">
        <x:v>升级</x:v>
      </x:c>
      <x:c r="H21" s="20" t="str">
        <x:v>高</x:v>
      </x:c>
      <x:c r="I21" s="20" t="str">
        <x:v>否</x:v>
      </x:c>
      <x:c r="J21" s="20" t="str">
        <x:v>增加拍照取证要求</x:v>
      </x:c>
    </x:row>
    <x:row r="22">
      <x:c r="A22" s="20" t="str">
        <x:v>C019</x:v>
      </x:c>
      <x:c r="B22" s="23" t="n">
        <x:v>46253</x:v>
      </x:c>
      <x:c r="C22" s="20" t="str">
        <x:v>空气炸锅</x:v>
      </x:c>
      <x:c r="D22" s="20" t="str">
        <x:v>冒烟</x:v>
      </x:c>
      <x:c r="E22" s="20" t="str">
        <x:v>炸五花肉时有白烟</x:v>
      </x:c>
      <x:c r="F22" s="20" t="str">
        <x:v>KB011</x:v>
      </x:c>
      <x:c r="G22" s="20" t="str">
        <x:v>是</x:v>
      </x:c>
      <x:c r="H22" s="20" t="str">
        <x:v>中</x:v>
      </x:c>
      <x:c r="I22" s="20" t="str">
        <x:v>否</x:v>
      </x:c>
      <x:c r="J22" s="20" t="str">
        <x:v>区分油烟与异常浓烟</x:v>
      </x:c>
    </x:row>
    <x:row r="23">
      <x:c r="A23" s="20" t="str">
        <x:v>C020</x:v>
      </x:c>
      <x:c r="B23" s="23" t="n">
        <x:v>46254</x:v>
      </x:c>
      <x:c r="C23" s="20" t="str">
        <x:v>通用</x:v>
      </x:c>
      <x:c r="D23" s="20" t="str">
        <x:v>投诉</x:v>
      </x:c>
      <x:c r="E23" s="20" t="str">
        <x:v>用户要求立即赔偿</x:v>
      </x:c>
      <x:c r="F23" s="20" t="str">
        <x:v>KB019</x:v>
      </x:c>
      <x:c r="G23" s="20" t="str">
        <x:v>升级</x:v>
      </x:c>
      <x:c r="H23" s="20" t="str">
        <x:v>高</x:v>
      </x:c>
      <x:c r="I23" s="20" t="str">
        <x:v>否</x:v>
      </x:c>
      <x:c r="J23" s="20" t="str">
        <x:v>补充诉求记录模板</x:v>
      </x:c>
    </x:row>
    <x:row r="24">
      <x:c r="A24" s="20" t="str">
        <x:v>C021</x:v>
      </x:c>
      <x:c r="B24" s="23" t="n">
        <x:v>46255</x:v>
      </x:c>
      <x:c r="C24" s="20" t="str">
        <x:v>养生壶</x:v>
      </x:c>
      <x:c r="D24" s="20" t="str">
        <x:v>首次使用</x:v>
      </x:c>
      <x:c r="E24" s="20" t="str">
        <x:v>新壶如何清洁试烧</x:v>
      </x:c>
      <x:c r="F24" s="20" t="str">
        <x:v>KB001</x:v>
      </x:c>
      <x:c r="G24" s="20" t="str">
        <x:v>是</x:v>
      </x:c>
      <x:c r="H24" s="20" t="str">
        <x:v>低</x:v>
      </x:c>
      <x:c r="I24" s="20" t="str">
        <x:v>否</x:v>
      </x:c>
      <x:c r="J24" s="20" t="str">
        <x:v>补充首次使用图片步骤</x:v>
      </x:c>
    </x:row>
    <x:row r="25">
      <x:c r="A25" s="20" t="str">
        <x:v>C022</x:v>
      </x:c>
      <x:c r="B25" s="23" t="n">
        <x:v>46256</x:v>
      </x:c>
      <x:c r="C25" s="20" t="str">
        <x:v>养生壶</x:v>
      </x:c>
      <x:c r="D25" s="20" t="str">
        <x:v>异味</x:v>
      </x:c>
      <x:c r="E25" s="20" t="str">
        <x:v>试烧两次仍有刺鼻气味</x:v>
      </x:c>
      <x:c r="F25" s="20" t="str">
        <x:v>KB002</x:v>
      </x:c>
      <x:c r="G25" s="20" t="str">
        <x:v>升级</x:v>
      </x:c>
      <x:c r="H25" s="20" t="str">
        <x:v>中</x:v>
      </x:c>
      <x:c r="I25" s="20" t="str">
        <x:v>否</x:v>
      </x:c>
      <x:c r="J25" s="20" t="str">
        <x:v>增加异味分级判断</x:v>
      </x:c>
    </x:row>
    <x:row r="26">
      <x:c r="A26" s="20" t="str">
        <x:v>C023</x:v>
      </x:c>
      <x:c r="B26" s="23" t="n">
        <x:v>46257</x:v>
      </x:c>
      <x:c r="C26" s="20" t="str">
        <x:v>养生壶</x:v>
      </x:c>
      <x:c r="D26" s="20" t="str">
        <x:v>水垢</x:v>
      </x:c>
      <x:c r="E26" s="20" t="str">
        <x:v>壶底白点无法擦掉</x:v>
      </x:c>
      <x:c r="F26" s="20" t="str">
        <x:v>KB003</x:v>
      </x:c>
      <x:c r="G26" s="20" t="str">
        <x:v>是</x:v>
      </x:c>
      <x:c r="H26" s="20" t="str">
        <x:v>低</x:v>
      </x:c>
      <x:c r="I26" s="20" t="str">
        <x:v>否</x:v>
      </x:c>
      <x:c r="J26" s="20" t="str">
        <x:v>增加水垢与涂层异常对比</x:v>
      </x:c>
    </x:row>
    <x:row r="27">
      <x:c r="A27" s="20" t="str">
        <x:v>C024</x:v>
      </x:c>
      <x:c r="B27" s="23" t="n">
        <x:v>46258</x:v>
      </x:c>
      <x:c r="C27" s="20" t="str">
        <x:v>电热水壶</x:v>
      </x:c>
      <x:c r="D27" s="20" t="str">
        <x:v>自动断电</x:v>
      </x:c>
      <x:c r="E27" s="20" t="str">
        <x:v>水开后开关不跳</x:v>
      </x:c>
      <x:c r="F27" s="20" t="str">
        <x:v>KB007</x:v>
      </x:c>
      <x:c r="G27" s="20" t="str">
        <x:v>升级</x:v>
      </x:c>
      <x:c r="H27" s="20" t="str">
        <x:v>高</x:v>
      </x:c>
      <x:c r="I27" s="20" t="str">
        <x:v>否</x:v>
      </x:c>
      <x:c r="J27" s="20" t="str">
        <x:v>强化立即停用提示</x:v>
      </x:c>
    </x:row>
    <x:row r="28">
      <x:c r="A28" s="20" t="str">
        <x:v>C025</x:v>
      </x:c>
      <x:c r="B28" s="23" t="n">
        <x:v>46259</x:v>
      </x:c>
      <x:c r="C28" s="20" t="str">
        <x:v>空气炸锅</x:v>
      </x:c>
      <x:c r="D28" s="20" t="str">
        <x:v>食物不熟</x:v>
      </x:c>
      <x:c r="E28" s="20" t="str">
        <x:v>鸡翅外熟内生</x:v>
      </x:c>
      <x:c r="F28" s="20" t="str">
        <x:v>KB012</x:v>
      </x:c>
      <x:c r="G28" s="20" t="str">
        <x:v>是</x:v>
      </x:c>
      <x:c r="H28" s="20" t="str">
        <x:v>低</x:v>
      </x:c>
      <x:c r="I28" s="20" t="str">
        <x:v>否</x:v>
      </x:c>
      <x:c r="J28" s="20" t="str">
        <x:v>补充食材厚度变量</x:v>
      </x:c>
    </x:row>
    <x:row r="29">
      <x:c r="A29" s="20" t="str">
        <x:v>C026</x:v>
      </x:c>
      <x:c r="B29" s="23" t="n">
        <x:v>46260</x:v>
      </x:c>
      <x:c r="C29" s="20" t="str">
        <x:v>通用</x:v>
      </x:c>
      <x:c r="D29" s="20" t="str">
        <x:v>配件</x:v>
      </x:c>
      <x:c r="E29" s="20" t="str">
        <x:v>找不到旧型号炸篮</x:v>
      </x:c>
      <x:c r="F29" s="20" t="str">
        <x:v>KB017</x:v>
      </x:c>
      <x:c r="G29" s="20" t="str">
        <x:v>部分</x:v>
      </x:c>
      <x:c r="H29" s="20" t="str">
        <x:v>低</x:v>
      </x:c>
      <x:c r="I29" s="20" t="str">
        <x:v>是</x:v>
      </x:c>
      <x:c r="J29" s="20" t="str">
        <x:v>建立旧型号配件适配表</x:v>
      </x:c>
    </x:row>
    <x:row r="30">
      <x:c r="A30" s="20" t="str">
        <x:v>C027</x:v>
      </x:c>
      <x:c r="B30" s="23" t="n">
        <x:v>46261</x:v>
      </x:c>
      <x:c r="C30" s="20" t="str">
        <x:v>通用</x:v>
      </x:c>
      <x:c r="D30" s="20" t="str">
        <x:v>退换货</x:v>
      </x:c>
      <x:c r="E30" s="20" t="str">
        <x:v>线下店购买能否线上退</x:v>
      </x:c>
      <x:c r="F30" s="20" t="str">
        <x:v>KB014</x:v>
      </x:c>
      <x:c r="G30" s="20" t="str">
        <x:v>升级</x:v>
      </x:c>
      <x:c r="H30" s="20" t="str">
        <x:v>中</x:v>
      </x:c>
      <x:c r="I30" s="20" t="str">
        <x:v>是</x:v>
      </x:c>
      <x:c r="J30" s="20" t="str">
        <x:v>按渠道补充流程分支</x:v>
      </x:c>
    </x:row>
    <x:row r="31">
      <x:c r="A31" s="20" t="str">
        <x:v>C028</x:v>
      </x:c>
      <x:c r="B31" s="23" t="n">
        <x:v>46262</x:v>
      </x:c>
      <x:c r="C31" s="20" t="str">
        <x:v>电热水壶</x:v>
      </x:c>
      <x:c r="D31" s="20" t="str">
        <x:v>漏水</x:v>
      </x:c>
      <x:c r="E31" s="20" t="str">
        <x:v>底座下方持续有水</x:v>
      </x:c>
      <x:c r="F31" s="20" t="str">
        <x:v>KB009</x:v>
      </x:c>
      <x:c r="G31" s="20" t="str">
        <x:v>升级</x:v>
      </x:c>
      <x:c r="H31" s="20" t="str">
        <x:v>高</x:v>
      </x:c>
      <x:c r="I31" s="20" t="str">
        <x:v>否</x:v>
      </x:c>
      <x:c r="J31" s="20" t="str">
        <x:v>增加拍照取证要求</x:v>
      </x:c>
    </x:row>
    <x:row r="32">
      <x:c r="A32" s="20" t="str">
        <x:v>C029</x:v>
      </x:c>
      <x:c r="B32" s="23" t="n">
        <x:v>46263</x:v>
      </x:c>
      <x:c r="C32" s="20" t="str">
        <x:v>空气炸锅</x:v>
      </x:c>
      <x:c r="D32" s="20" t="str">
        <x:v>冒烟</x:v>
      </x:c>
      <x:c r="E32" s="20" t="str">
        <x:v>炸五花肉时有白烟</x:v>
      </x:c>
      <x:c r="F32" s="20" t="str">
        <x:v>KB011</x:v>
      </x:c>
      <x:c r="G32" s="20" t="str">
        <x:v>是</x:v>
      </x:c>
      <x:c r="H32" s="20" t="str">
        <x:v>中</x:v>
      </x:c>
      <x:c r="I32" s="20" t="str">
        <x:v>否</x:v>
      </x:c>
      <x:c r="J32" s="20" t="str">
        <x:v>区分油烟与异常浓烟</x:v>
      </x:c>
    </x:row>
    <x:row r="33">
      <x:c r="A33" s="21" t="str">
        <x:v>C030</x:v>
      </x:c>
      <x:c r="B33" s="24" t="n">
        <x:v>46264</x:v>
      </x:c>
      <x:c r="C33" s="21" t="str">
        <x:v>通用</x:v>
      </x:c>
      <x:c r="D33" s="21" t="str">
        <x:v>投诉</x:v>
      </x:c>
      <x:c r="E33" s="21" t="str">
        <x:v>用户要求立即赔偿</x:v>
      </x:c>
      <x:c r="F33" s="21" t="str">
        <x:v>KB019</x:v>
      </x:c>
      <x:c r="G33" s="21" t="str">
        <x:v>升级</x:v>
      </x:c>
      <x:c r="H33" s="21" t="str">
        <x:v>高</x:v>
      </x:c>
      <x:c r="I33" s="21" t="str">
        <x:v>否</x:v>
      </x:c>
      <x:c r="J33" s="21" t="str">
        <x:v>补充诉求记录模板</x:v>
      </x:c>
    </x:row>
  </x:sheetData>
  <x:mergeCells>
    <x:mergeCell ref="A1:J1"/>
    <x:mergeCell ref="A2:H2"/>
  </x:mergeCells>
  <x:conditionalFormatting sqref="H4:H33">
    <x:cfRule type="containsText" dxfId="2" priority="1" operator="containsText" text="高"/>
  </x:conditionalFormatting>
  <x:conditionalFormatting sqref="I4:I33">
    <x:cfRule type="containsText" dxfId="3" priority="2" operator="containsText" text="是"/>
  </x:conditionalFormatting>
  <x:dataValidations count="2">
    <x:dataValidation type="list" sqref="G4:G200">
      <x:formula1>"是,部分,升级,否"</x:formula1>
    </x:dataValidation>
    <x:dataValidation type="list" sqref="I4:I20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b9ca3b64d74b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2" hidden="0" customWidth="1"/>
    <x:col min="5" max="5" width="30" hidden="0" customWidth="1"/>
    <x:col min="6" max="6" width="34" hidden="0" customWidth="1"/>
    <x:col min="7" max="7" width="16" hidden="0" customWidth="1"/>
    <x:col min="8" max="8" width="56" hidden="0" customWidth="1"/>
    <x:col min="9" max="9" width="13" hidden="0" customWidth="1"/>
    <x:col min="10" max="10" width="12" hidden="0" customWidth="1"/>
  </x:cols>
  <x:sheetData>
    <x:row r="1" ht="34" customHeight="1">
      <x:c r="A1" s="116" t="str">
        <x:v>公开资料来源台账</x:v>
      </x:c>
      <x:c r="B1" s="116"/>
      <x:c r="C1" s="116"/>
      <x:c r="D1" s="116"/>
      <x:c r="E1" s="116"/>
      <x:c r="F1" s="116"/>
      <x:c r="G1" s="116"/>
      <x:c r="H1" s="116"/>
      <x:c r="I1" s="116"/>
      <x:c r="J1" s="116"/>
    </x:row>
    <x:row r="2" ht="28" customHeight="1">
      <x:c r="A2" s="119" t="str">
        <x:v>仅收录品牌官方说明书和官方支持页面｜用于追溯知识条目的原始依据</x:v>
      </x:c>
      <x:c r="B2" s="119"/>
      <x:c r="C2" s="119"/>
      <x:c r="D2" s="119"/>
      <x:c r="E2" s="119"/>
      <x:c r="F2" s="119"/>
      <x:c r="G2" s="119"/>
      <x:c r="H2" s="119"/>
      <x:c r="I2" s="119"/>
      <x:c r="J2" s="119"/>
    </x:row>
    <x:row r="3" ht="30" customHeight="1">
      <x:c r="A3" s="124" t="str">
        <x:v>来源编号</x:v>
      </x:c>
      <x:c r="B3" s="124" t="str">
        <x:v>品牌</x:v>
      </x:c>
      <x:c r="C3" s="124" t="str">
        <x:v>产品类别</x:v>
      </x:c>
      <x:c r="D3" s="124" t="str">
        <x:v>适用型号</x:v>
      </x:c>
      <x:c r="E3" s="124" t="str">
        <x:v>资料名称</x:v>
      </x:c>
      <x:c r="F3" s="124" t="str">
        <x:v>使用章节</x:v>
      </x:c>
      <x:c r="G3" s="124" t="str">
        <x:v>资料类型</x:v>
      </x:c>
      <x:c r="H3" s="124" t="str">
        <x:v>官方链接</x:v>
      </x:c>
      <x:c r="I3" s="124" t="str">
        <x:v>提取日期</x:v>
      </x:c>
      <x:c r="J3" s="124" t="str">
        <x:v>复核状态</x:v>
      </x:c>
    </x:row>
    <x:row r="4">
      <x:c r="A4" s="19" t="str">
        <x:v>SRC001</x:v>
      </x:c>
      <x:c r="B4" s="19" t="str">
        <x:v>Philips</x:v>
      </x:c>
      <x:c r="C4" s="19" t="str">
        <x:v>空气炸锅</x:v>
      </x:c>
      <x:c r="D4" s="19" t="str">
        <x:v>Airfryer相关型号</x:v>
      </x:c>
      <x:c r="E4" s="19" t="str">
        <x:v>Airfryer Instruction Manual</x:v>
      </x:c>
      <x:c r="F4" s="19" t="str">
        <x:v>Before first use / Important safeguards / Troubleshooting</x:v>
      </x:c>
      <x:c r="G4" s="19" t="str">
        <x:v>官方说明书</x:v>
      </x:c>
      <x:c r="H4" s="19" t="str">
        <x:v>https://www.documents.philips.com/assets/20210512/7d66549c3d5c4d2299efad26006bc54d.pdf</x:v>
      </x:c>
      <x:c r="I4" s="22" t="n">
        <x:v>46264</x:v>
      </x:c>
      <x:c r="J4" s="19" t="str">
        <x:v>已复核</x:v>
      </x:c>
    </x:row>
    <x:row r="5">
      <x:c r="A5" s="20" t="str">
        <x:v>SRC002</x:v>
      </x:c>
      <x:c r="B5" s="20" t="str">
        <x:v>Philips</x:v>
      </x:c>
      <x:c r="C5" s="20" t="str">
        <x:v>空气炸锅</x:v>
      </x:c>
      <x:c r="D5" s="20" t="str">
        <x:v>页面列示适用型号</x:v>
      </x:c>
      <x:c r="E5" s="20" t="str">
        <x:v>How to clean my Philips Airfryer</x:v>
      </x:c>
      <x:c r="F5" s="20" t="str">
        <x:v>Pan and basket / Heating element</x:v>
      </x:c>
      <x:c r="G5" s="20" t="str">
        <x:v>官方支持页面</x:v>
      </x:c>
      <x:c r="H5" s="20" t="str">
        <x:v>https://www.usa.philips.com/c-f/XC000012903/how-to-clean-my-philips-airfryer</x:v>
      </x:c>
      <x:c r="I5" s="23" t="n">
        <x:v>46264</x:v>
      </x:c>
      <x:c r="J5" s="20" t="str">
        <x:v>已复核</x:v>
      </x:c>
    </x:row>
    <x:row r="6">
      <x:c r="A6" s="20" t="str">
        <x:v>SRC003</x:v>
      </x:c>
      <x:c r="B6" s="20" t="str">
        <x:v>Panasonic</x:v>
      </x:c>
      <x:c r="C6" s="20" t="str">
        <x:v>电热水壶</x:v>
      </x:c>
      <x:c r="D6" s="20" t="str">
        <x:v>NC-K101 / NC-K301</x:v>
      </x:c>
      <x:c r="E6" s="20" t="str">
        <x:v>Operating Instructions</x:v>
      </x:c>
      <x:c r="F6" s="20" t="str">
        <x:v>Safety / Filling / Pouring / Cleaning</x:v>
      </x:c>
      <x:c r="G6" s="20" t="str">
        <x:v>官方说明书</x:v>
      </x:c>
      <x:c r="H6" s="20" t="str">
        <x:v>https://www.panasonic.com/content/dam/Panasonic/Asia/Operating-Instructions/Operating-Instructions-NC-K101WSK.pdf</x:v>
      </x:c>
      <x:c r="I6" s="23" t="n">
        <x:v>46264</x:v>
      </x:c>
      <x:c r="J6" s="20" t="str">
        <x:v>已复核</x:v>
      </x:c>
    </x:row>
    <x:row r="7">
      <x:c r="A7" s="21" t="str">
        <x:v>SRC004</x:v>
      </x:c>
      <x:c r="B7" s="21" t="str">
        <x:v>Panasonic</x:v>
      </x:c>
      <x:c r="C7" s="21" t="str">
        <x:v>电热水壶</x:v>
      </x:c>
      <x:c r="D7" s="21" t="str">
        <x:v>NC-SK1</x:v>
      </x:c>
      <x:c r="E7" s="21" t="str">
        <x:v>Operating Instructions</x:v>
      </x:c>
      <x:c r="F7" s="21" t="str">
        <x:v>Safety / Use / Cleaning / Troubleshooting</x:v>
      </x:c>
      <x:c r="G7" s="21" t="str">
        <x:v>官方说明书</x:v>
      </x:c>
      <x:c r="H7" s="21" t="str">
        <x:v>https://www.panasonic.com/content/dam/Panasonic/vn/vi/Support/Operating-Installation-Instructions/04-Operation-Instruction-NC-SK1.pdf</x:v>
      </x:c>
      <x:c r="I7" s="24" t="n">
        <x:v>46264</x:v>
      </x:c>
      <x:c r="J7" s="21" t="str">
        <x:v>已复核</x:v>
      </x:c>
    </x:row>
  </x:sheetData>
  <x:mergeCells>
    <x:mergeCell ref="A1:J1"/>
    <x:mergeCell ref="A2:J2"/>
  </x:mergeCells>
  <x:conditionalFormatting sqref="J4:J7">
    <x:cfRule type="containsText" dxfId="4" priority="1" operator="containsText" text="已复核"/>
  </x:conditionalFormatting>
  <x:pageMargins left="0.7" right="0.7" top="0.75" bottom="0.75" header="0.3" footer="0.3"/>
  <x:tableParts count="1">
    <x:tablePart xmlns:r="http://schemas.openxmlformats.org/officeDocument/2006/relationships" r:id="R543b1c29a12745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4" hidden="0" customWidth="1"/>
    <x:col min="4" max="4" width="28" hidden="0" customWidth="1"/>
    <x:col min="5" max="5" width="42" hidden="0" customWidth="1"/>
    <x:col min="6" max="6" width="42" hidden="0" customWidth="1"/>
    <x:col min="7" max="7" width="25" hidden="0" customWidth="1"/>
    <x:col min="8" max="8" width="10" hidden="0" customWidth="1"/>
    <x:col min="9" max="9" width="30" hidden="0" customWidth="1"/>
    <x:col min="10" max="10" width="34" hidden="0" customWidth="1"/>
    <x:col min="11" max="11" width="12" hidden="0" customWidth="1"/>
    <x:col min="12" max="12" width="18" hidden="0" customWidth="1"/>
    <x:col min="13" max="13" width="10" hidden="0" customWidth="1"/>
    <x:col min="14" max="14" width="13" hidden="0" customWidth="1"/>
    <x:col min="15" max="15" width="12" hidden="0" customWidth="1"/>
    <x:col min="16" max="16" width="55" hidden="0" customWidth="1"/>
  </x:cols>
  <x:sheetData>
    <x:row r="1" ht="34" customHeight="1">
      <x:c r="A1" s="116" t="str">
        <x:v>公开资料知识库</x:v>
      </x:c>
      <x:c r="B1" s="116"/>
      <x:c r="C1" s="116"/>
      <x:c r="D1" s="116"/>
      <x:c r="E1" s="116"/>
      <x:c r="F1" s="116"/>
      <x:c r="G1" s="116"/>
      <x:c r="H1" s="116"/>
      <x:c r="I1" s="116"/>
      <x:c r="J1" s="116"/>
      <x:c r="K1" s="116"/>
      <x:c r="L1" s="116"/>
      <x:c r="M1" s="116"/>
      <x:c r="N1" s="116"/>
      <x:c r="O1" s="116"/>
      <x:c r="P1" s="116"/>
    </x:row>
    <x:row r="2" ht="28" customHeight="1">
      <x:c r="A2" s="119" t="str">
        <x:v>20条经官方公开资料整理的结构化知识｜具体型号规则不可自动泛化至所有家电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  <x:c r="N2" s="119"/>
      <x:c r="O2" s="119"/>
      <x:c r="P2" s="119"/>
    </x:row>
    <x:row r="3" ht="30" customHeight="1">
      <x:c r="A3" s="124" t="str">
        <x:v>知识编号</x:v>
      </x:c>
      <x:c r="B3" s="124" t="str">
        <x:v>产品类别</x:v>
      </x:c>
      <x:c r="C3" s="124" t="str">
        <x:v>问题分类</x:v>
      </x:c>
      <x:c r="D3" s="124" t="str">
        <x:v>用户常见问法</x:v>
      </x:c>
      <x:c r="E3" s="124" t="str">
        <x:v>标准答案</x:v>
      </x:c>
      <x:c r="F3" s="124" t="str">
        <x:v>排查步骤</x:v>
      </x:c>
      <x:c r="G3" s="124" t="str">
        <x:v>客服行动</x:v>
      </x:c>
      <x:c r="H3" s="124" t="str">
        <x:v>风险等级</x:v>
      </x:c>
      <x:c r="I3" s="124" t="str">
        <x:v>升级条件</x:v>
      </x:c>
      <x:c r="J3" s="124" t="str">
        <x:v>适用范围/章节</x:v>
      </x:c>
      <x:c r="K3" s="124" t="str">
        <x:v>来源编号</x:v>
      </x:c>
      <x:c r="L3" s="124" t="str">
        <x:v>信息性质</x:v>
      </x:c>
      <x:c r="M3" s="124" t="str">
        <x:v>版本号</x:v>
      </x:c>
      <x:c r="N3" s="124" t="str">
        <x:v>复核日期</x:v>
      </x:c>
      <x:c r="O3" s="124" t="str">
        <x:v>复核状态</x:v>
      </x:c>
      <x:c r="P3" s="124" t="str">
        <x:v>官方链接</x:v>
      </x:c>
    </x:row>
    <x:row r="4">
      <x:c r="A4" s="19" t="str">
        <x:v>VK001</x:v>
      </x:c>
      <x:c r="B4" s="19" t="str">
        <x:v>空气炸锅</x:v>
      </x:c>
      <x:c r="C4" s="19" t="str">
        <x:v>首次使用</x:v>
      </x:c>
      <x:c r="D4" s="19" t="str">
        <x:v>空气炸锅第一次使用前要做什么？</x:v>
      </x:c>
      <x:c r="E4" s="19" t="str">
        <x:v>先移除全部包装材料，清洗炸篮和锅体等可拆部件，并用湿布擦拭机身内外；具体步骤以对应型号说明书为准。</x:v>
      </x:c>
      <x:c r="F4" s="19" t="str">
        <x:v>核对型号；移除包装；清洗可拆部件；湿布擦拭；正确装回</x:v>
      </x:c>
      <x:c r="G4" s="19" t="str">
        <x:v>引用对应型号说明书指导首次使用</x:v>
      </x:c>
      <x:c r="H4" s="19" t="str">
        <x:v>低</x:v>
      </x:c>
      <x:c r="I4" s="19" t="str">
        <x:v>发现部件破损、线材异常或无法正确装配时停止使用</x:v>
      </x:c>
      <x:c r="J4" s="19" t="str">
        <x:v>飞利浦Airfryer相关型号｜Before first use</x:v>
      </x:c>
      <x:c r="K4" s="19" t="str">
        <x:v>SRC001</x:v>
      </x:c>
      <x:c r="L4" s="19" t="str">
        <x:v>官方说明书整理</x:v>
      </x:c>
      <x:c r="M4" s="19" t="str">
        <x:v>V1.0</x:v>
      </x:c>
      <x:c r="N4" s="22" t="n">
        <x:v>46264</x:v>
      </x:c>
      <x:c r="O4" s="19" t="str">
        <x:v>已复核</x:v>
      </x:c>
      <x:c r="P4" s="19" t="str">
        <x:v>https://www.documents.philips.com/assets/20210512/7d66549c3d5c4d2299efad26006bc54d.pdf</x:v>
      </x:c>
    </x:row>
    <x:row r="5">
      <x:c r="A5" s="20" t="str">
        <x:v>VK002</x:v>
      </x:c>
      <x:c r="B5" s="20" t="str">
        <x:v>空气炸锅</x:v>
      </x:c>
      <x:c r="C5" s="20" t="str">
        <x:v>摆放</x:v>
      </x:c>
      <x:c r="D5" s="20" t="str">
        <x:v>空气炸锅可以放在不耐热桌面上吗？</x:v>
      </x:c>
      <x:c r="E5" s="20" t="str">
        <x:v>应放置在稳定、水平且耐热的表面，并远离水源或其他热源；不要堵塞进风口和出风口。</x:v>
      </x:c>
      <x:c r="F5" s="20" t="str">
        <x:v>检查台面；检查四周空间；确认风口无遮挡</x:v>
      </x:c>
      <x:c r="G5" s="20" t="str">
        <x:v>说明安全摆放要求</x:v>
      </x:c>
      <x:c r="H5" s="20" t="str">
        <x:v>中</x:v>
      </x:c>
      <x:c r="I5" s="20" t="str">
        <x:v>靠近易燃物、水源或风口被遮挡时要求调整后再用</x:v>
      </x:c>
      <x:c r="J5" s="20" t="str">
        <x:v>飞利浦Airfryer相关型号｜Preparing for use</x:v>
      </x:c>
      <x:c r="K5" s="20" t="str">
        <x:v>SRC001</x:v>
      </x:c>
      <x:c r="L5" s="20" t="str">
        <x:v>官方说明书整理</x:v>
      </x:c>
      <x:c r="M5" s="20" t="str">
        <x:v>V1.0</x:v>
      </x:c>
      <x:c r="N5" s="23" t="n">
        <x:v>46264</x:v>
      </x:c>
      <x:c r="O5" s="20" t="str">
        <x:v>已复核</x:v>
      </x:c>
      <x:c r="P5" s="20" t="str">
        <x:v>https://www.documents.philips.com/assets/20210512/7d66549c3d5c4d2299efad26006bc54d.pdf</x:v>
      </x:c>
    </x:row>
    <x:row r="6">
      <x:c r="A6" s="20" t="str">
        <x:v>VK003</x:v>
      </x:c>
      <x:c r="B6" s="20" t="str">
        <x:v>空气炸锅</x:v>
      </x:c>
      <x:c r="C6" s="20" t="str">
        <x:v>用油</x:v>
      </x:c>
      <x:c r="D6" s="20" t="str">
        <x:v>可以往空气炸锅锅里倒满油炸东西吗？</x:v>
      </x:c>
      <x:c r="E6" s="20" t="str">
        <x:v>空气炸锅通过热空气工作，不应像传统油炸锅一样向锅内倒入大量油或脂肪。</x:v>
      </x:c>
      <x:c r="F6" s="20" t="str">
        <x:v>确认用户是否向锅内直接加油；要求停止错误操作；按食材需求少量刷油</x:v>
      </x:c>
      <x:c r="G6" s="20" t="str">
        <x:v>纠正高风险使用方式</x:v>
      </x:c>
      <x:c r="H6" s="20" t="str">
        <x:v>高</x:v>
      </x:c>
      <x:c r="I6" s="20" t="str">
        <x:v>已经大量加油、出现溢油或接近加热部件时立即停用</x:v>
      </x:c>
      <x:c r="J6" s="20" t="str">
        <x:v>飞利浦Airfryer相关型号｜Important safeguards</x:v>
      </x:c>
      <x:c r="K6" s="20" t="str">
        <x:v>SRC001</x:v>
      </x:c>
      <x:c r="L6" s="20" t="str">
        <x:v>官方说明书整理</x:v>
      </x:c>
      <x:c r="M6" s="20" t="str">
        <x:v>V1.0</x:v>
      </x:c>
      <x:c r="N6" s="23" t="n">
        <x:v>46264</x:v>
      </x:c>
      <x:c r="O6" s="20" t="str">
        <x:v>已复核</x:v>
      </x:c>
      <x:c r="P6" s="20" t="str">
        <x:v>https://www.documents.philips.com/assets/20210512/7d66549c3d5c4d2299efad26006bc54d.pdf</x:v>
      </x:c>
    </x:row>
    <x:row r="7">
      <x:c r="A7" s="20" t="str">
        <x:v>VK004</x:v>
      </x:c>
      <x:c r="B7" s="20" t="str">
        <x:v>空气炸锅</x:v>
      </x:c>
      <x:c r="C7" s="20" t="str">
        <x:v>深色烟雾</x:v>
      </x:c>
      <x:c r="D7" s="20" t="str">
        <x:v>空气炸锅冒黑烟怎么办？</x:v>
      </x:c>
      <x:c r="E7" s="20" t="str">
        <x:v>立即断开电源，等待烟雾停止后再处理锅体，不要在持续冒烟时直接拉出炸篮或继续运行。</x:v>
      </x:c>
      <x:c r="F7" s="20" t="str">
        <x:v>断电；保持安全距离；等待烟雾停止；记录食材和现象；转人工</x:v>
      </x:c>
      <x:c r="G7" s="20" t="str">
        <x:v>执行安全升级</x:v>
      </x:c>
      <x:c r="H7" s="20" t="str">
        <x:v>高</x:v>
      </x:c>
      <x:c r="I7" s="20" t="str">
        <x:v>深色烟雾、火花、明火或持续焦糊味</x:v>
      </x:c>
      <x:c r="J7" s="20" t="str">
        <x:v>飞利浦Airfryer相关型号｜Dark smoke warning</x:v>
      </x:c>
      <x:c r="K7" s="20" t="str">
        <x:v>SRC001</x:v>
      </x:c>
      <x:c r="L7" s="20" t="str">
        <x:v>官方说明书整理</x:v>
      </x:c>
      <x:c r="M7" s="20" t="str">
        <x:v>V1.0</x:v>
      </x:c>
      <x:c r="N7" s="23" t="n">
        <x:v>46264</x:v>
      </x:c>
      <x:c r="O7" s="20" t="str">
        <x:v>已复核</x:v>
      </x:c>
      <x:c r="P7" s="20" t="str">
        <x:v>https://www.documents.philips.com/assets/20210512/7d66549c3d5c4d2299efad26006bc54d.pdf</x:v>
      </x:c>
    </x:row>
    <x:row r="8">
      <x:c r="A8" s="20" t="str">
        <x:v>VK005</x:v>
      </x:c>
      <x:c r="B8" s="20" t="str">
        <x:v>空气炸锅</x:v>
      </x:c>
      <x:c r="C8" s="20" t="str">
        <x:v>白烟</x:v>
      </x:c>
      <x:c r="D8" s="20" t="str">
        <x:v>炸高脂食材出现白烟一定是故障吗？</x:v>
      </x:c>
      <x:c r="E8" s="20" t="str">
        <x:v>高脂食材产生的油脂进入锅底时可能形成白烟并使锅体更热，但仍需区分普通白烟与深色烟雾、焦味等异常。</x:v>
      </x:c>
      <x:c r="F8" s="20" t="str">
        <x:v>询问食材；判断烟雾颜色和气味；检查锅底油脂；排除深色烟雾</x:v>
      </x:c>
      <x:c r="G8" s="20" t="str">
        <x:v>区分现象并提示清洁锅底油脂</x:v>
      </x:c>
      <x:c r="H8" s="20" t="str">
        <x:v>中</x:v>
      </x:c>
      <x:c r="I8" s="20" t="str">
        <x:v>烟雾颜色深、持续加重或伴随火花焦味时立即断电升级</x:v>
      </x:c>
      <x:c r="J8" s="20" t="str">
        <x:v>飞利浦Airfryer相关型号｜Troubleshooting: white smoke</x:v>
      </x:c>
      <x:c r="K8" s="20" t="str">
        <x:v>SRC001</x:v>
      </x:c>
      <x:c r="L8" s="20" t="str">
        <x:v>官方说明书整理</x:v>
      </x:c>
      <x:c r="M8" s="20" t="str">
        <x:v>V1.0</x:v>
      </x:c>
      <x:c r="N8" s="23" t="n">
        <x:v>46264</x:v>
      </x:c>
      <x:c r="O8" s="20" t="str">
        <x:v>已复核</x:v>
      </x:c>
      <x:c r="P8" s="20" t="str">
        <x:v>https://www.documents.philips.com/assets/20210512/7d66549c3d5c4d2299efad26006bc54d.pdf</x:v>
      </x:c>
    </x:row>
    <x:row r="9">
      <x:c r="A9" s="20" t="str">
        <x:v>VK006</x:v>
      </x:c>
      <x:c r="B9" s="20" t="str">
        <x:v>空气炸锅</x:v>
      </x:c>
      <x:c r="C9" s="20" t="str">
        <x:v>装载量</x:v>
      </x:c>
      <x:c r="D9" s="20" t="str">
        <x:v>食材放得太多会有什么影响？</x:v>
      </x:c>
      <x:c r="E9" s="20" t="str">
        <x:v>超过炸篮MAX标记可能影响食物受热和锅体正确推入，应减少食材至规定范围。</x:v>
      </x:c>
      <x:c r="F9" s="20" t="str">
        <x:v>核对MAX线；减少食材；重新放平；检查锅体是否正确到位</x:v>
      </x:c>
      <x:c r="G9" s="20" t="str">
        <x:v>指导减少装载量</x:v>
      </x:c>
      <x:c r="H9" s="20" t="str">
        <x:v>低</x:v>
      </x:c>
      <x:c r="I9" s="20" t="str">
        <x:v>强行推入导致结构卡滞时停止操作</x:v>
      </x:c>
      <x:c r="J9" s="20" t="str">
        <x:v>飞利浦Airfryer相关型号｜Troubleshooting: pan insertion</x:v>
      </x:c>
      <x:c r="K9" s="20" t="str">
        <x:v>SRC001</x:v>
      </x:c>
      <x:c r="L9" s="20" t="str">
        <x:v>官方说明书整理</x:v>
      </x:c>
      <x:c r="M9" s="20" t="str">
        <x:v>V1.0</x:v>
      </x:c>
      <x:c r="N9" s="23" t="n">
        <x:v>46264</x:v>
      </x:c>
      <x:c r="O9" s="20" t="str">
        <x:v>已复核</x:v>
      </x:c>
      <x:c r="P9" s="20" t="str">
        <x:v>https://www.documents.philips.com/assets/20210512/7d66549c3d5c4d2299efad26006bc54d.pdf</x:v>
      </x:c>
    </x:row>
    <x:row r="10">
      <x:c r="A10" s="20" t="str">
        <x:v>VK007</x:v>
      </x:c>
      <x:c r="B10" s="20" t="str">
        <x:v>空气炸锅</x:v>
      </x:c>
      <x:c r="C10" s="20" t="str">
        <x:v>受热不均</x:v>
      </x:c>
      <x:c r="D10" s="20" t="str">
        <x:v>薯条为什么有的熟有的不熟？</x:v>
      </x:c>
      <x:c r="E10" s="20" t="str">
        <x:v>叠放或交叉的食材可能需要在烹饪过程中翻动或摇匀；同时应控制装载量。</x:v>
      </x:c>
      <x:c r="F10" s="20" t="str">
        <x:v>确认食材形态；核对装载量；按说明中途翻动；适当延长时间</x:v>
      </x:c>
      <x:c r="G10" s="20" t="str">
        <x:v>解释影响因素，不承诺固定结果</x:v>
      </x:c>
      <x:c r="H10" s="20" t="str">
        <x:v>低</x:v>
      </x:c>
      <x:c r="I10" s="20" t="str">
        <x:v>肉类等涉及食用安全且用户无法判断熟度时提醒确保熟透</x:v>
      </x:c>
      <x:c r="J10" s="20" t="str">
        <x:v>飞利浦Airfryer相关型号｜Troubleshooting: uneven results</x:v>
      </x:c>
      <x:c r="K10" s="20" t="str">
        <x:v>SRC001</x:v>
      </x:c>
      <x:c r="L10" s="20" t="str">
        <x:v>官方说明书整理</x:v>
      </x:c>
      <x:c r="M10" s="20" t="str">
        <x:v>V1.0</x:v>
      </x:c>
      <x:c r="N10" s="23" t="n">
        <x:v>46264</x:v>
      </x:c>
      <x:c r="O10" s="20" t="str">
        <x:v>已复核</x:v>
      </x:c>
      <x:c r="P10" s="20" t="str">
        <x:v>https://www.documents.philips.com/assets/20210512/7d66549c3d5c4d2299efad26006bc54d.pdf</x:v>
      </x:c>
    </x:row>
    <x:row r="11">
      <x:c r="A11" s="20" t="str">
        <x:v>VK008</x:v>
      </x:c>
      <x:c r="B11" s="20" t="str">
        <x:v>空气炸锅</x:v>
      </x:c>
      <x:c r="C11" s="20" t="str">
        <x:v>蒸汽烫伤</x:v>
      </x:c>
      <x:c r="D11" s="20" t="str">
        <x:v>运行时可以把脸靠近出风口观察吗？</x:v>
      </x:c>
      <x:c r="E11" s="20" t="str">
        <x:v>运行时出风口会释放高温蒸汽，应让手和面部与出风口保持安全距离，取出锅体时也需防范热蒸汽。</x:v>
      </x:c>
      <x:c r="F11" s="20" t="str">
        <x:v>提醒远离出风口；使用把手；缓慢拉出；避免儿童靠近</x:v>
      </x:c>
      <x:c r="G11" s="20" t="str">
        <x:v>立即纠正危险动作</x:v>
      </x:c>
      <x:c r="H11" s="20" t="str">
        <x:v>高</x:v>
      </x:c>
      <x:c r="I11" s="20" t="str">
        <x:v>用户已发生烫伤时建议按实际情况及时寻求医疗帮助</x:v>
      </x:c>
      <x:c r="J11" s="20" t="str">
        <x:v>飞利浦Airfryer相关型号｜Hot steam warning</x:v>
      </x:c>
      <x:c r="K11" s="20" t="str">
        <x:v>SRC001</x:v>
      </x:c>
      <x:c r="L11" s="20" t="str">
        <x:v>官方说明书整理</x:v>
      </x:c>
      <x:c r="M11" s="20" t="str">
        <x:v>V1.0</x:v>
      </x:c>
      <x:c r="N11" s="23" t="n">
        <x:v>46264</x:v>
      </x:c>
      <x:c r="O11" s="20" t="str">
        <x:v>已复核</x:v>
      </x:c>
      <x:c r="P11" s="20" t="str">
        <x:v>https://www.documents.philips.com/assets/20210512/7d66549c3d5c4d2299efad26006bc54d.pdf</x:v>
      </x:c>
    </x:row>
    <x:row r="12">
      <x:c r="A12" s="20" t="str">
        <x:v>VK009</x:v>
      </x:c>
      <x:c r="B12" s="20" t="str">
        <x:v>空气炸锅</x:v>
      </x:c>
      <x:c r="C12" s="20" t="str">
        <x:v>清洁</x:v>
      </x:c>
      <x:c r="D12" s="20" t="str">
        <x:v>炸篮可以用钢丝球清洁吗？</x:v>
      </x:c>
      <x:c r="E12" s="20" t="str">
        <x:v>不建议使用金属厨具、钢丝球或磨蚀性清洁材料，以免损伤不粘涂层；可用热水、洗涤剂和软海绵清洁。</x:v>
      </x:c>
      <x:c r="F12" s="20" t="str">
        <x:v>断电冷却；拆下部件；温水浸泡；软海绵清洁；冲洗干燥</x:v>
      </x:c>
      <x:c r="G12" s="20" t="str">
        <x:v>提供不损伤涂层的清洁方法</x:v>
      </x:c>
      <x:c r="H12" s="20" t="str">
        <x:v>低</x:v>
      </x:c>
      <x:c r="I12" s="20" t="str">
        <x:v>涂层已经明显脱落时停止继续使用并转售后确认</x:v>
      </x:c>
      <x:c r="J12" s="20" t="str">
        <x:v>飞利浦支持｜Cleaning pan and basket</x:v>
      </x:c>
      <x:c r="K12" s="20" t="str">
        <x:v>SRC002</x:v>
      </x:c>
      <x:c r="L12" s="20" t="str">
        <x:v>官方支持页整理</x:v>
      </x:c>
      <x:c r="M12" s="20" t="str">
        <x:v>V1.0</x:v>
      </x:c>
      <x:c r="N12" s="23" t="n">
        <x:v>46264</x:v>
      </x:c>
      <x:c r="O12" s="20" t="str">
        <x:v>已复核</x:v>
      </x:c>
      <x:c r="P12" s="20" t="str">
        <x:v>https://www.usa.philips.com/c-f/XC000012903/how-to-clean-my-philips-airfryer</x:v>
      </x:c>
    </x:row>
    <x:row r="13">
      <x:c r="A13" s="20" t="str">
        <x:v>VK010</x:v>
      </x:c>
      <x:c r="B13" s="20" t="str">
        <x:v>空气炸锅</x:v>
      </x:c>
      <x:c r="C13" s="20" t="str">
        <x:v>加热管清洁</x:v>
      </x:c>
      <x:c r="D13" s="20" t="str">
        <x:v>加热管附近的油污怎么清理？</x:v>
      </x:c>
      <x:c r="E13" s="20" t="str">
        <x:v>必须先拔掉电源并确认机器不热，再拆出炸篮和锅体，用软海绵及热水清洁内部；顽固残渣可使用软至中等硬度刷具，避免钢丝刷。</x:v>
      </x:c>
      <x:c r="F13" s="20" t="str">
        <x:v>断电；完全冷却；取出部件；软质工具清洁；晾干复位</x:v>
      </x:c>
      <x:c r="G13" s="20" t="str">
        <x:v>强调断电、冷却和工具限制</x:v>
      </x:c>
      <x:c r="H13" s="20" t="str">
        <x:v>中</x:v>
      </x:c>
      <x:c r="I13" s="20" t="str">
        <x:v>液体进入电器部件或无法安全接近时停止自行清洁</x:v>
      </x:c>
      <x:c r="J13" s="20" t="str">
        <x:v>飞利浦支持｜Cleaning heating element</x:v>
      </x:c>
      <x:c r="K13" s="20" t="str">
        <x:v>SRC002</x:v>
      </x:c>
      <x:c r="L13" s="20" t="str">
        <x:v>官方支持页整理</x:v>
      </x:c>
      <x:c r="M13" s="20" t="str">
        <x:v>V1.0</x:v>
      </x:c>
      <x:c r="N13" s="23" t="n">
        <x:v>46264</x:v>
      </x:c>
      <x:c r="O13" s="20" t="str">
        <x:v>已复核</x:v>
      </x:c>
      <x:c r="P13" s="20" t="str">
        <x:v>https://www.usa.philips.com/c-f/XC000012903/how-to-clean-my-philips-airfryer</x:v>
      </x:c>
    </x:row>
    <x:row r="14">
      <x:c r="A14" s="20" t="str">
        <x:v>VK011</x:v>
      </x:c>
      <x:c r="B14" s="20" t="str">
        <x:v>电热水壶</x:v>
      </x:c>
      <x:c r="C14" s="20" t="str">
        <x:v>专用底座</x:v>
      </x:c>
      <x:c r="D14" s="20" t="str">
        <x:v>水壶可以放到其他品牌底座上用吗？</x:v>
      </x:c>
      <x:c r="E14" s="20" t="str">
        <x:v>电热水壶应与随附的专用电源底座配套使用，不应混用其他设备或型号的底座。</x:v>
      </x:c>
      <x:c r="F14" s="20" t="str">
        <x:v>核对型号；核对底座；停止混用；使用原配或确认适配的配件</x:v>
      </x:c>
      <x:c r="G14" s="20" t="str">
        <x:v>阻止底座混用</x:v>
      </x:c>
      <x:c r="H14" s="20" t="str">
        <x:v>高</x:v>
      </x:c>
      <x:c r="I14" s="20" t="str">
        <x:v>已经出现接触不良、火花或异常发热时立即断电</x:v>
      </x:c>
      <x:c r="J14" s="20" t="str">
        <x:v>松下NC-K101/NC-K301｜Power base safety</x:v>
      </x:c>
      <x:c r="K14" s="20" t="str">
        <x:v>SRC003</x:v>
      </x:c>
      <x:c r="L14" s="20" t="str">
        <x:v>官方说明书整理</x:v>
      </x:c>
      <x:c r="M14" s="20" t="str">
        <x:v>V1.0</x:v>
      </x:c>
      <x:c r="N14" s="23" t="n">
        <x:v>46264</x:v>
      </x:c>
      <x:c r="O14" s="20" t="str">
        <x:v>已复核</x:v>
      </x:c>
      <x:c r="P14" s="20" t="str">
        <x:v>https://www.panasonic.com/content/dam/Panasonic/Asia/Operating-Instructions/Operating-Instructions-NC-K101WSK.pdf</x:v>
      </x:c>
    </x:row>
    <x:row r="15">
      <x:c r="A15" s="20" t="str">
        <x:v>VK012</x:v>
      </x:c>
      <x:c r="B15" s="20" t="str">
        <x:v>电热水壶</x:v>
      </x:c>
      <x:c r="C15" s="20" t="str">
        <x:v>加水</x:v>
      </x:c>
      <x:c r="D15" s="20" t="str">
        <x:v>水壶放在底座上时可以直接加水吗？</x:v>
      </x:c>
      <x:c r="E15" s="20" t="str">
        <x:v>为减少电气风险，应先将壶体从电源底座取下，再进行加水或倒水操作。</x:v>
      </x:c>
      <x:c r="F15" s="20" t="str">
        <x:v>关闭开关；移离底座；加水；擦干外壁；放回底座</x:v>
      </x:c>
      <x:c r="G15" s="20" t="str">
        <x:v>指导正确加水顺序</x:v>
      </x:c>
      <x:c r="H15" s="20" t="str">
        <x:v>中</x:v>
      </x:c>
      <x:c r="I15" s="20" t="str">
        <x:v>底座已经进水时先断电并充分干燥，必要时转售后</x:v>
      </x:c>
      <x:c r="J15" s="20" t="str">
        <x:v>松下NC-K101/NC-K301｜Filling and pouring</x:v>
      </x:c>
      <x:c r="K15" s="20" t="str">
        <x:v>SRC003</x:v>
      </x:c>
      <x:c r="L15" s="20" t="str">
        <x:v>官方说明书整理</x:v>
      </x:c>
      <x:c r="M15" s="20" t="str">
        <x:v>V1.0</x:v>
      </x:c>
      <x:c r="N15" s="23" t="n">
        <x:v>46264</x:v>
      </x:c>
      <x:c r="O15" s="20" t="str">
        <x:v>已复核</x:v>
      </x:c>
      <x:c r="P15" s="20" t="str">
        <x:v>https://www.panasonic.com/content/dam/Panasonic/Asia/Operating-Instructions/Operating-Instructions-NC-K101WSK.pdf</x:v>
      </x:c>
    </x:row>
    <x:row r="16">
      <x:c r="A16" s="20" t="str">
        <x:v>VK013</x:v>
      </x:c>
      <x:c r="B16" s="20" t="str">
        <x:v>电热水壶</x:v>
      </x:c>
      <x:c r="C16" s="20" t="str">
        <x:v>水位</x:v>
      </x:c>
      <x:c r="D16" s="20" t="str">
        <x:v>水加到超过MAX线会怎样？</x:v>
      </x:c>
      <x:c r="E16" s="20" t="str">
        <x:v>超过最高水位可能导致沸水从壶口溅出并造成烫伤，应将水量控制在MIN和MAX标记之间。</x:v>
      </x:c>
      <x:c r="F16" s="20" t="str">
        <x:v>断电；倒出多余水；确认水位；合盖后再加热</x:v>
      </x:c>
      <x:c r="G16" s="20" t="str">
        <x:v>提醒水位和烫伤风险</x:v>
      </x:c>
      <x:c r="H16" s="20" t="str">
        <x:v>高</x:v>
      </x:c>
      <x:c r="I16" s="20" t="str">
        <x:v>沸水已经溢出到底座时立即断电并停止使用</x:v>
      </x:c>
      <x:c r="J16" s="20" t="str">
        <x:v>松下电热水壶说明书｜Water level precautions</x:v>
      </x:c>
      <x:c r="K16" s="20" t="str">
        <x:v>SRC003</x:v>
      </x:c>
      <x:c r="L16" s="20" t="str">
        <x:v>官方说明书整理</x:v>
      </x:c>
      <x:c r="M16" s="20" t="str">
        <x:v>V1.0</x:v>
      </x:c>
      <x:c r="N16" s="23" t="n">
        <x:v>46264</x:v>
      </x:c>
      <x:c r="O16" s="20" t="str">
        <x:v>已复核</x:v>
      </x:c>
      <x:c r="P16" s="20" t="str">
        <x:v>https://www.panasonic.com/content/dam/Panasonic/Asia/Operating-Instructions/Operating-Instructions-NC-K101WSK.pdf</x:v>
      </x:c>
    </x:row>
    <x:row r="17">
      <x:c r="A17" s="20" t="str">
        <x:v>VK014</x:v>
      </x:c>
      <x:c r="B17" s="20" t="str">
        <x:v>电热水壶</x:v>
      </x:c>
      <x:c r="C17" s="20" t="str">
        <x:v>干烧保护</x:v>
      </x:c>
      <x:c r="D17" s="20" t="str">
        <x:v>水太少导致水壶停止加热怎么办？</x:v>
      </x:c>
      <x:c r="E17" s="20" t="str">
        <x:v>部分型号带防干烧保护，水量不足时会停止加热。应关闭开关、移离底座并充分冷却，再补充合适水量；以对应型号说明为准。</x:v>
      </x:c>
      <x:c r="F17" s="20" t="str">
        <x:v>关闭；移离底座；冷却；加至规定水位；重新放回</x:v>
      </x:c>
      <x:c r="G17" s="20" t="str">
        <x:v>解释保护机制并防止连续重试</x:v>
      </x:c>
      <x:c r="H17" s="20" t="str">
        <x:v>中</x:v>
      </x:c>
      <x:c r="I17" s="20" t="str">
        <x:v>冷却补水后仍无法工作或出现焦味时转售后</x:v>
      </x:c>
      <x:c r="J17" s="20" t="str">
        <x:v>松下/公开电热水壶说明书｜Boil-dry protection</x:v>
      </x:c>
      <x:c r="K17" s="20" t="str">
        <x:v>SRC004</x:v>
      </x:c>
      <x:c r="L17" s="20" t="str">
        <x:v>官方说明书整理</x:v>
      </x:c>
      <x:c r="M17" s="20" t="str">
        <x:v>V1.0</x:v>
      </x:c>
      <x:c r="N17" s="23" t="n">
        <x:v>46264</x:v>
      </x:c>
      <x:c r="O17" s="20" t="str">
        <x:v>已复核</x:v>
      </x:c>
      <x:c r="P17" s="20" t="str">
        <x:v>https://www.panasonic.com/content/dam/Panasonic/vn/vi/Support/Operating-Installation-Instructions/04-Operation-Instruction-NC-SK1.pdf</x:v>
      </x:c>
    </x:row>
    <x:row r="18">
      <x:c r="A18" s="20" t="str">
        <x:v>VK015</x:v>
      </x:c>
      <x:c r="B18" s="20" t="str">
        <x:v>电热水壶</x:v>
      </x:c>
      <x:c r="C18" s="20" t="str">
        <x:v>倒水</x:v>
      </x:c>
      <x:c r="D18" s="20" t="str">
        <x:v>倒热水时为什么要慢一点？</x:v>
      </x:c>
      <x:c r="E18" s="20" t="str">
        <x:v>应握住把手缓慢倒水，避免过度倾斜，以降低热水飞溅和烫伤风险。</x:v>
      </x:c>
      <x:c r="F18" s="20" t="str">
        <x:v>确认壶盖闭合；握稳把手；缓慢倾倒；避免壶嘴靠近人体</x:v>
      </x:c>
      <x:c r="G18" s="20" t="str">
        <x:v>强调防烫操作</x:v>
      </x:c>
      <x:c r="H18" s="20" t="str">
        <x:v>中</x:v>
      </x:c>
      <x:c r="I18" s="20" t="str">
        <x:v>壶盖松动或把手异常时停止倒水</x:v>
      </x:c>
      <x:c r="J18" s="20" t="str">
        <x:v>松下电热水壶说明书｜Pouring caution</x:v>
      </x:c>
      <x:c r="K18" s="20" t="str">
        <x:v>SRC003</x:v>
      </x:c>
      <x:c r="L18" s="20" t="str">
        <x:v>官方说明书整理</x:v>
      </x:c>
      <x:c r="M18" s="20" t="str">
        <x:v>V1.0</x:v>
      </x:c>
      <x:c r="N18" s="23" t="n">
        <x:v>46264</x:v>
      </x:c>
      <x:c r="O18" s="20" t="str">
        <x:v>已复核</x:v>
      </x:c>
      <x:c r="P18" s="20" t="str">
        <x:v>https://www.panasonic.com/content/dam/Panasonic/Asia/Operating-Instructions/Operating-Instructions-NC-K101WSK.pdf</x:v>
      </x:c>
    </x:row>
    <x:row r="19">
      <x:c r="A19" s="20" t="str">
        <x:v>VK016</x:v>
      </x:c>
      <x:c r="B19" s="20" t="str">
        <x:v>电热水壶</x:v>
      </x:c>
      <x:c r="C19" s="20" t="str">
        <x:v>清洁前处理</x:v>
      </x:c>
      <x:c r="D19" s="20" t="str">
        <x:v>电热水壶用完能马上清洗吗？</x:v>
      </x:c>
      <x:c r="E19" s="20" t="str">
        <x:v>清洁前应拔下电源并等待壶体充分冷却，避免烫伤和电气风险。</x:v>
      </x:c>
      <x:c r="F19" s="20" t="str">
        <x:v>断电；倒空；完全冷却；按说明清洁；干燥后复位</x:v>
      </x:c>
      <x:c r="G19" s="20" t="str">
        <x:v>强调清洁前置条件</x:v>
      </x:c>
      <x:c r="H19" s="20" t="str">
        <x:v>中</x:v>
      </x:c>
      <x:c r="I19" s="20" t="str">
        <x:v>底座或接口进水时暂停使用并评估</x:v>
      </x:c>
      <x:c r="J19" s="20" t="str">
        <x:v>松下电热水壶说明书｜Cleaning and storage</x:v>
      </x:c>
      <x:c r="K19" s="20" t="str">
        <x:v>SRC003</x:v>
      </x:c>
      <x:c r="L19" s="20" t="str">
        <x:v>官方说明书整理</x:v>
      </x:c>
      <x:c r="M19" s="20" t="str">
        <x:v>V1.0</x:v>
      </x:c>
      <x:c r="N19" s="23" t="n">
        <x:v>46264</x:v>
      </x:c>
      <x:c r="O19" s="20" t="str">
        <x:v>已复核</x:v>
      </x:c>
      <x:c r="P19" s="20" t="str">
        <x:v>https://www.panasonic.com/content/dam/Panasonic/Asia/Operating-Instructions/Operating-Instructions-NC-K101WSK.pdf</x:v>
      </x:c>
    </x:row>
    <x:row r="20">
      <x:c r="A20" s="20" t="str">
        <x:v>VK017</x:v>
      </x:c>
      <x:c r="B20" s="20" t="str">
        <x:v>电热水壶</x:v>
      </x:c>
      <x:c r="C20" s="20" t="str">
        <x:v>使用看护</x:v>
      </x:c>
      <x:c r="D20" s="20" t="str">
        <x:v>烧水时可以离开家吗？</x:v>
      </x:c>
      <x:c r="E20" s="20" t="str">
        <x:v>电热水壶运行时应保持必要看护；离开时关闭电源，不应让设备在无人注意的情况下持续工作。</x:v>
      </x:c>
      <x:c r="F20" s="20" t="str">
        <x:v>提醒看护；确认自动断电功能正常；离开前关闭并拔电</x:v>
      </x:c>
      <x:c r="G20" s="20" t="str">
        <x:v>纠正无人看护行为</x:v>
      </x:c>
      <x:c r="H20" s="20" t="str">
        <x:v>高</x:v>
      </x:c>
      <x:c r="I20" s="20" t="str">
        <x:v>自动断电失效时立即停用并送检</x:v>
      </x:c>
      <x:c r="J20" s="20" t="str">
        <x:v>松下电热水壶说明书｜Attention during use</x:v>
      </x:c>
      <x:c r="K20" s="20" t="str">
        <x:v>SRC003</x:v>
      </x:c>
      <x:c r="L20" s="20" t="str">
        <x:v>官方说明书整理</x:v>
      </x:c>
      <x:c r="M20" s="20" t="str">
        <x:v>V1.0</x:v>
      </x:c>
      <x:c r="N20" s="23" t="n">
        <x:v>46264</x:v>
      </x:c>
      <x:c r="O20" s="20" t="str">
        <x:v>已复核</x:v>
      </x:c>
      <x:c r="P20" s="20" t="str">
        <x:v>https://www.panasonic.com/content/dam/Panasonic/Asia/Operating-Instructions/Operating-Instructions-NC-K101WSK.pdf</x:v>
      </x:c>
    </x:row>
    <x:row r="21">
      <x:c r="A21" s="20" t="str">
        <x:v>VK018</x:v>
      </x:c>
      <x:c r="B21" s="20" t="str">
        <x:v>电热水壶</x:v>
      </x:c>
      <x:c r="C21" s="20" t="str">
        <x:v>指定用途</x:v>
      </x:c>
      <x:c r="D21" s="20" t="str">
        <x:v>电热水壶可以直接煮牛奶或食物吗？</x:v>
      </x:c>
      <x:c r="E21" s="20" t="str">
        <x:v>普通电热水壶通常设计用于烧饮用水，不应在没有对应功能说明时用于加热其他液体或食物；以具体型号说明书为准。</x:v>
      </x:c>
      <x:c r="F21" s="20" t="str">
        <x:v>核对型号用途；停止错误使用；清洁残留；按说明重新使用</x:v>
      </x:c>
      <x:c r="G21" s="20" t="str">
        <x:v>防止用途误用</x:v>
      </x:c>
      <x:c r="H21" s="20" t="str">
        <x:v>中</x:v>
      </x:c>
      <x:c r="I21" s="20" t="str">
        <x:v>液体溢入电气结构或形成焦糊残留时停止使用</x:v>
      </x:c>
      <x:c r="J21" s="20" t="str">
        <x:v>松下电热水壶说明书｜Intended use</x:v>
      </x:c>
      <x:c r="K21" s="20" t="str">
        <x:v>SRC004</x:v>
      </x:c>
      <x:c r="L21" s="20" t="str">
        <x:v>官方说明书整理</x:v>
      </x:c>
      <x:c r="M21" s="20" t="str">
        <x:v>V1.0</x:v>
      </x:c>
      <x:c r="N21" s="23" t="n">
        <x:v>46264</x:v>
      </x:c>
      <x:c r="O21" s="20" t="str">
        <x:v>已复核</x:v>
      </x:c>
      <x:c r="P21" s="20" t="str">
        <x:v>https://www.panasonic.com/content/dam/Panasonic/vn/vi/Support/Operating-Installation-Instructions/04-Operation-Instruction-NC-SK1.pdf</x:v>
      </x:c>
    </x:row>
    <x:row r="22">
      <x:c r="A22" s="20" t="str">
        <x:v>VK019</x:v>
      </x:c>
      <x:c r="B22" s="20" t="str">
        <x:v>电热水壶</x:v>
      </x:c>
      <x:c r="C22" s="20" t="str">
        <x:v>壶盖安全</x:v>
      </x:c>
      <x:c r="D22" s="20" t="str">
        <x:v>烧水过程中可以打开壶盖吗？</x:v>
      </x:c>
      <x:c r="E22" s="20" t="str">
        <x:v>运行时不应打开壶盖，以免沸水或蒸汽溅出造成烫伤；加水前先停止加热并倒出剩余热水。</x:v>
      </x:c>
      <x:c r="F22" s="20" t="str">
        <x:v>关闭开关；等待停止沸腾；安全倒水；冷却后开盖</x:v>
      </x:c>
      <x:c r="G22" s="20" t="str">
        <x:v>立即纠正危险操作</x:v>
      </x:c>
      <x:c r="H22" s="20" t="str">
        <x:v>高</x:v>
      </x:c>
      <x:c r="I22" s="20" t="str">
        <x:v>壶盖无法闭合或锁定时停止使用</x:v>
      </x:c>
      <x:c r="J22" s="20" t="str">
        <x:v>松下电热水壶说明书｜Lid and steam warning</x:v>
      </x:c>
      <x:c r="K22" s="20" t="str">
        <x:v>SRC003</x:v>
      </x:c>
      <x:c r="L22" s="20" t="str">
        <x:v>官方说明书整理</x:v>
      </x:c>
      <x:c r="M22" s="20" t="str">
        <x:v>V1.0</x:v>
      </x:c>
      <x:c r="N22" s="23" t="n">
        <x:v>46264</x:v>
      </x:c>
      <x:c r="O22" s="20" t="str">
        <x:v>已复核</x:v>
      </x:c>
      <x:c r="P22" s="20" t="str">
        <x:v>https://www.panasonic.com/content/dam/Panasonic/Asia/Operating-Instructions/Operating-Instructions-NC-K101WSK.pdf</x:v>
      </x:c>
    </x:row>
    <x:row r="23">
      <x:c r="A23" s="21" t="str">
        <x:v>VK020</x:v>
      </x:c>
      <x:c r="B23" s="21" t="str">
        <x:v>电热水壶</x:v>
      </x:c>
      <x:c r="C23" s="21" t="str">
        <x:v>异常停机</x:v>
      </x:c>
      <x:c r="D23" s="21" t="str">
        <x:v>水壶过热后完全无法恢复怎么办？</x:v>
      </x:c>
      <x:c r="E23" s="21" t="str">
        <x:v>部分型号除防干烧外还有额外热保护。充分冷却并按说明处理后仍无法工作时，不应自行拆机，应联系售后检测。</x:v>
      </x:c>
      <x:c r="F23" s="21" t="str">
        <x:v>断电；冷却；核对水量；仅重试一次；仍异常则转售后</x:v>
      </x:c>
      <x:c r="G23" s="21" t="str">
        <x:v>阻止反复通电和自行拆机</x:v>
      </x:c>
      <x:c r="H23" s="21" t="str">
        <x:v>高</x:v>
      </x:c>
      <x:c r="I23" s="21" t="str">
        <x:v>持续异常发热、焦味、火花或无法自动断电</x:v>
      </x:c>
      <x:c r="J23" s="21" t="str">
        <x:v>松下电热水壶说明书｜Thermal protection</x:v>
      </x:c>
      <x:c r="K23" s="21" t="str">
        <x:v>SRC004</x:v>
      </x:c>
      <x:c r="L23" s="21" t="str">
        <x:v>官方说明书整理</x:v>
      </x:c>
      <x:c r="M23" s="21" t="str">
        <x:v>V1.0</x:v>
      </x:c>
      <x:c r="N23" s="24" t="n">
        <x:v>46264</x:v>
      </x:c>
      <x:c r="O23" s="21" t="str">
        <x:v>已复核</x:v>
      </x:c>
      <x:c r="P23" s="21" t="str">
        <x:v>https://www.panasonic.com/content/dam/Panasonic/vn/vi/Support/Operating-Installation-Instructions/04-Operation-Instruction-NC-SK1.pdf</x:v>
      </x:c>
    </x:row>
  </x:sheetData>
  <x:mergeCells>
    <x:mergeCell ref="A1:P1"/>
    <x:mergeCell ref="A2:P2"/>
  </x:mergeCells>
  <x:conditionalFormatting sqref="H4:H23">
    <x:cfRule type="containsText" dxfId="5" priority="1" operator="containsText" text="高"/>
  </x:conditionalFormatting>
  <x:conditionalFormatting sqref="O4:O23">
    <x:cfRule type="containsText" dxfId="6" priority="2" operator="containsText" text="已复核"/>
  </x:conditionalFormatting>
  <x:pageMargins left="0.7" right="0.7" top="0.75" bottom="0.75" header="0.3" footer="0.3"/>
  <x:tableParts count="1">
    <x:tablePart xmlns:r="http://schemas.openxmlformats.org/officeDocument/2006/relationships" r:id="R758a5e916b6e4ced"/>
  </x:tableParts>
</x:worksheet>
</file>